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Marcelo.Renata\Documents\Cursos TI\DIO\Bootcamo IA e Dados\"/>
    </mc:Choice>
  </mc:AlternateContent>
  <bookViews>
    <workbookView xWindow="0" yWindow="0" windowWidth="20490" windowHeight="7755" activeTab="3"/>
  </bookViews>
  <sheets>
    <sheet name="A̳ssets" sheetId="1" r:id="rId1"/>
    <sheet name="B̳ases" sheetId="2" r:id="rId2"/>
    <sheet name="C̳álculos" sheetId="3" r:id="rId3"/>
    <sheet name="D̳ashboard" sheetId="4" r:id="rId4"/>
  </sheets>
  <externalReferences>
    <externalReference r:id="rId5"/>
  </externalReferences>
  <definedNames>
    <definedName name="SegmentaçãodeDados_Subscription_Type2">#N/A</definedName>
  </definedNames>
  <calcPr calcId="152511"/>
  <pivotCaches>
    <pivotCache cacheId="7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</calcChain>
</file>

<file path=xl/sharedStrings.xml><?xml version="1.0" encoding="utf-8"?>
<sst xmlns="http://schemas.openxmlformats.org/spreadsheetml/2006/main" count="2012" uniqueCount="321">
  <si>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</si>
  <si>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</si>
  <si>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</si>
  <si>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</si>
  <si>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</si>
  <si>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</si>
  <si>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</si>
  <si>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</si>
  <si>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</si>
  <si>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</si>
  <si>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</si>
  <si>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</si>
  <si>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</si>
  <si>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</si>
  <si>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</si>
  <si>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</si>
  <si>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</si>
  <si>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</si>
  <si>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</si>
  <si>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</si>
  <si>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</si>
  <si>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</si>
  <si>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</si>
  <si>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</si>
  <si>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</si>
  <si>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</si>
  <si>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</si>
  <si>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</si>
  <si>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</si>
  <si>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</si>
  <si>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</si>
  <si>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</si>
  <si>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</si>
  <si>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</si>
  <si>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</si>
  <si>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</si>
  <si>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</si>
  <si>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</si>
  <si>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</si>
  <si>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</si>
  <si>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</si>
  <si>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</si>
  <si>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</si>
  <si>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</si>
  <si>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</si>
  <si>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</si>
  <si>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</si>
  <si>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</si>
  <si>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</si>
  <si>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</si>
  <si>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</si>
  <si>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</si>
  <si>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</si>
  <si>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</si>
  <si>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</si>
  <si>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</si>
  <si>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</si>
  <si>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</si>
  <si>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</si>
  <si>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</si>
  <si>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</si>
  <si>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</si>
  <si>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</si>
  <si>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</si>
  <si>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</si>
  <si>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</si>
  <si>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</si>
  <si>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</si>
  <si>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</si>
  <si>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</si>
  <si>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</si>
  <si>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</si>
  <si>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</si>
  <si>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</si>
  <si>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</si>
  <si>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</si>
  <si>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</si>
  <si>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</si>
  <si>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</si>
  <si>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</si>
  <si>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</si>
  <si>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</si>
  <si>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</si>
  <si>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</si>
  <si>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</si>
  <si>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</si>
  <si>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</si>
  <si>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</si>
  <si>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</si>
  <si>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</si>
  <si>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</si>
  <si>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</si>
  <si>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</si>
  <si>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</si>
  <si>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</si>
  <si>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</si>
  <si>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</si>
  <si>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</si>
  <si>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</si>
  <si>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</si>
  <si>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</si>
  <si>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</si>
  <si>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</si>
  <si>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</si>
  <si>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</si>
  <si>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</si>
  <si>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</si>
  <si>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</si>
  <si>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</si>
  <si>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</si>
  <si>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</si>
  <si>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</si>
  <si>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</si>
  <si>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</si>
  <si>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</si>
  <si>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</si>
  <si>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</si>
  <si>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</si>
  <si>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</si>
  <si>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</si>
  <si>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</si>
  <si>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</si>
  <si>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</si>
  <si>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</si>
  <si>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</si>
  <si>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</si>
  <si>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</si>
  <si>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</si>
  <si>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</si>
  <si>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</si>
  <si>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</si>
  <si>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</si>
  <si>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</si>
  <si>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</si>
  <si>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</si>
  <si>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</si>
  <si>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</si>
  <si>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</si>
  <si>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</si>
  <si>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</si>
  <si>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</si>
  <si>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</si>
  <si>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</si>
  <si>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</si>
  <si>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</si>
  <si>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</si>
  <si>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</si>
  <si>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</si>
  <si>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</si>
  <si>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</si>
  <si>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</si>
  <si>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</si>
  <si>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</si>
  <si>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</si>
  <si>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</si>
  <si>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</si>
  <si>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</si>
  <si>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</si>
  <si>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</si>
  <si>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</si>
  <si>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</si>
  <si>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</si>
  <si>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</si>
  <si>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</si>
  <si>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</si>
  <si>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</si>
  <si>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</si>
  <si>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</si>
  <si>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</si>
  <si>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</si>
  <si>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</si>
  <si>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</si>
  <si>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</si>
  <si>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</si>
  <si>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</si>
  <si>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</si>
  <si>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</si>
  <si>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</si>
  <si>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</si>
  <si>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</si>
  <si>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</si>
  <si>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</si>
  <si>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</si>
  <si>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</si>
  <si>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</si>
  <si>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</si>
  <si>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</si>
  <si>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</si>
  <si>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</si>
  <si>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</si>
  <si>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</si>
  <si>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</si>
  <si>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</si>
  <si>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</si>
  <si>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</si>
  <si>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</si>
  <si>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</si>
  <si>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</si>
  <si>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</si>
  <si>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</si>
  <si>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</si>
  <si>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</si>
  <si>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</si>
  <si>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</si>
  <si>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</si>
  <si>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</si>
  <si>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</si>
  <si>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</si>
  <si>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</si>
  <si>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</si>
  <si>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</si>
  <si>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</si>
  <si>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</si>
  <si>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</si>
  <si>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</si>
  <si>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</si>
  <si>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</si>
  <si>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</si>
  <si>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</si>
  <si>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</si>
  <si>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</si>
  <si>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</si>
  <si>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</si>
  <si>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</si>
  <si>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</si>
  <si>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</si>
  <si>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</si>
  <si>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</si>
  <si>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</si>
  <si>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</si>
  <si>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</si>
  <si>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</si>
  <si>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</si>
  <si>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</si>
  <si>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</si>
  <si>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</si>
  <si>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</si>
  <si>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</si>
  <si>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</si>
  <si>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</si>
  <si>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</si>
  <si>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</si>
  <si>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</si>
  <si>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</si>
  <si>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</si>
  <si>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</si>
  <si>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</si>
  <si>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</si>
  <si>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</si>
  <si>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</si>
  <si>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</si>
  <si>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</si>
  <si>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</si>
  <si>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</si>
  <si>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</si>
  <si>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</si>
  <si>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</si>
  <si>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</si>
  <si>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</si>
  <si>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</si>
  <si>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</si>
  <si>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</si>
  <si>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</si>
  <si>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</si>
  <si>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</si>
  <si>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</si>
  <si>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</si>
  <si>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</si>
  <si>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</si>
  <si>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</si>
  <si>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</si>
  <si>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</si>
  <si>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</si>
  <si>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</si>
  <si>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</si>
  <si>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</si>
  <si>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</si>
  <si>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</si>
  <si>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</si>
  <si>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</si>
  <si>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</si>
  <si>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</si>
  <si>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</si>
  <si>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</si>
  <si>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</si>
  <si>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</si>
  <si>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</si>
  <si>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</si>
  <si>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</si>
  <si>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</si>
  <si>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</si>
  <si>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</si>
  <si>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</si>
  <si>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</si>
  <si>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</si>
  <si>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</si>
  <si>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</si>
  <si>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</si>
  <si>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</si>
  <si>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</si>
  <si>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</si>
  <si>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</si>
  <si>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</si>
  <si>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</si>
  <si>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</si>
  <si>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</si>
  <si>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</si>
  <si>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</si>
  <si>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</si>
  <si>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</si>
  <si>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</si>
  <si>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</si>
  <si>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</si>
  <si>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 xml:space="preserve"> XBOX GAME PASS SUBSCRIPTIONS SALES</t>
  </si>
  <si>
    <t>Pergunta de Negócio 1 - Qual o faturamento total da venda de planos anuais (contento todas as assinaturas agregadas).</t>
  </si>
  <si>
    <t>Rótulos de Linha</t>
  </si>
  <si>
    <t>Total Geral</t>
  </si>
  <si>
    <t>Soma de Total Value</t>
  </si>
  <si>
    <t>Pergunta de Negócio 2 - Qual o faturamento total da venda de planos anuais, separado por auto renovação e não auto renovação.</t>
  </si>
  <si>
    <t>Pergunta de Negócio 3 - Total da venda de assinaturas do EA Play.</t>
  </si>
  <si>
    <t>Soma de EA Play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</si>
</sst>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&quot;R$&quot;\ #,##0.00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b/>
      <sz val="15"/>
      <color theme="3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0" borderId="2" xfId="1" applyFont="1" applyBorder="1" applyAlignment="1">
      <alignment horizontal="left" indent="7"/>
    </xf>
    <xf numFmtId="0" fontId="5" fillId="0" borderId="2" xfId="1" applyFont="1" applyBorder="1"/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3" fontId="0" fillId="0" borderId="0" xfId="0" applyNumberFormat="1"/>
    <xf numFmtId="164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32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35C42E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009900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00CC00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00B050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00B050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theme="0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numFmt numFmtId="3" formatCode="#,##0"/>
    </dxf>
    <dxf>
      <numFmt numFmtId="4" formatCode="#,##0.0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8" defaultTableStyle="TableStyleMedium2" defaultPivotStyle="PivotStyleLight16">
    <tableStyle name="SlicerStyleLight3 2" pivot="0" table="0" count="10">
      <tableStyleElement type="wholeTable" dxfId="9"/>
      <tableStyleElement type="headerRow" dxfId="8"/>
    </tableStyle>
    <tableStyle name="SlicerStyleLight6 2" pivot="0" table="0" count="10">
      <tableStyleElement type="wholeTable" dxfId="17"/>
      <tableStyleElement type="headerRow" dxfId="16"/>
    </tableStyle>
    <tableStyle name="SlicerStyleLight6 3" pivot="0" table="0" count="10">
      <tableStyleElement type="wholeTable" dxfId="13"/>
      <tableStyleElement type="headerRow" dxfId="12"/>
    </tableStyle>
    <tableStyle name="SlicerStyleLight6 4" pivot="0" table="0" count="10">
      <tableStyleElement type="wholeTable" dxfId="11"/>
      <tableStyleElement type="headerRow" dxfId="10"/>
    </tableStyle>
    <tableStyle name="SlicerStyleLight6 5" pivot="0" table="0" count="10">
      <tableStyleElement type="wholeTable" dxfId="7"/>
      <tableStyleElement type="headerRow" dxfId="6"/>
    </tableStyle>
    <tableStyle name="SlicerStyleLight6 6" pivot="0" table="0" count="10">
      <tableStyleElement type="wholeTable" dxfId="5"/>
      <tableStyleElement type="headerRow" dxfId="4"/>
    </tableStyle>
    <tableStyle name="SlicerStyleLight6 7" pivot="0" table="0" count="10">
      <tableStyleElement type="wholeTable" dxfId="3"/>
      <tableStyleElement type="headerRow" dxfId="2"/>
    </tableStyle>
    <tableStyle name="SlicerStyleLight6 8" pivot="0" table="0" count="10">
      <tableStyleElement type="wholeTable" dxfId="1"/>
      <tableStyleElement type="headerRow" dxfId="0"/>
    </tableStyle>
  </tableStyles>
  <colors>
    <mruColors>
      <color rgb="FF35C42E"/>
      <color rgb="FF009900"/>
      <color rgb="FF00CC00"/>
      <color rgb="FF33CC33"/>
      <color rgb="FF8BF58B"/>
      <color rgb="FF000A00"/>
      <color rgb="FF22C55E"/>
      <color rgb="FFE8E6E9"/>
      <color rgb="FF5BF6A8"/>
      <color rgb="FF000000"/>
    </mruColors>
  </colors>
  <extLst>
    <ext xmlns:x14="http://schemas.microsoft.com/office/spreadsheetml/2009/9/main" uri="{46F421CA-312F-682f-3DD2-61675219B42D}">
      <x14:dxfs count="6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39"/>
            <x14:slicerStyleElement type="unselectedItemWithNoData" dxfId="38"/>
            <x14:slicerStyleElement type="selectedItemWithData" dxfId="37"/>
            <x14:slicerStyleElement type="selectedItemWithNoData" dxfId="36"/>
            <x14:slicerStyleElement type="hoveredUnselectedItemWithData" dxfId="35"/>
            <x14:slicerStyleElement type="hoveredSelectedItemWithData" dxfId="34"/>
            <x14:slicerStyleElement type="hoveredUnselectedItemWithNoData" dxfId="33"/>
            <x14:slicerStyleElement type="hoveredSelectedItemWithNoData" dxfId="32"/>
          </x14:slicerStyleElements>
        </x14:slicerStyle>
        <x14:slicerStyle name="SlicerStyleLight6 2">
          <x14:slicerStyleElements>
            <x14:slicerStyleElement type="unselectedItemWithData" dxfId="63"/>
            <x14:slicerStyleElement type="unselectedItemWithNoData" dxfId="62"/>
            <x14:slicerStyleElement type="selectedItemWithData" dxfId="61"/>
            <x14:slicerStyleElement type="selectedItemWithNoData" dxfId="60"/>
            <x14:slicerStyleElement type="hoveredUnselectedItemWithData" dxfId="59"/>
            <x14:slicerStyleElement type="hoveredSelectedItemWithData" dxfId="58"/>
            <x14:slicerStyleElement type="hoveredUnselectedItemWithNoData" dxfId="57"/>
            <x14:slicerStyleElement type="hoveredSelectedItemWithNoData" dxfId="56"/>
          </x14:slicerStyleElements>
        </x14:slicerStyle>
        <x14:slicerStyle name="SlicerStyleLight6 3">
          <x14:slicerStyleElements>
            <x14:slicerStyleElement type="unselectedItemWithData" dxfId="55"/>
            <x14:slicerStyleElement type="unselectedItemWithNoData" dxfId="54"/>
            <x14:slicerStyleElement type="selectedItemWithData" dxfId="53"/>
            <x14:slicerStyleElement type="selectedItemWithNoData" dxfId="52"/>
            <x14:slicerStyleElement type="hoveredUnselectedItemWithData" dxfId="51"/>
            <x14:slicerStyleElement type="hoveredSelectedItemWithData" dxfId="50"/>
            <x14:slicerStyleElement type="hoveredUnselectedItemWithNoData" dxfId="49"/>
            <x14:slicerStyleElement type="hoveredSelectedItemWithNoData" dxfId="48"/>
          </x14:slicerStyleElements>
        </x14:slicerStyle>
        <x14:slicerStyle name="SlicerStyleLight6 4">
          <x14:slicerStyleElements>
            <x14:slicerStyleElement type="unselectedItemWithData" dxfId="47"/>
            <x14:slicerStyleElement type="unselectedItemWithNoData" dxfId="46"/>
            <x14:slicerStyleElement type="selectedItemWithData" dxfId="45"/>
            <x14:slicerStyleElement type="selectedItemWithNoData" dxfId="44"/>
            <x14:slicerStyleElement type="hoveredUnselectedItemWithData" dxfId="43"/>
            <x14:slicerStyleElement type="hoveredSelectedItemWithData" dxfId="42"/>
            <x14:slicerStyleElement type="hoveredUnselectedItemWithNoData" dxfId="41"/>
            <x14:slicerStyleElement type="hoveredSelectedItemWithNoData" dxfId="40"/>
          </x14:slicerStyleElements>
        </x14:slicerStyle>
        <x14:slicerStyle name="SlicerStyleLight6 5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SlicerStyleLight6 6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6 7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8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Excel com Copilot Base 805d54f9-6d53-4246-bed7-4aa2da615923.xlsx]C̳álculos!Tabela dinâmica1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8BF58B"/>
          </a:solidFill>
          <a:ln>
            <a:noFill/>
          </a:ln>
          <a:effectLst/>
        </c:spPr>
      </c:pivotFmt>
      <c:pivotFmt>
        <c:idx val="2"/>
        <c:spPr>
          <a:solidFill>
            <a:srgbClr val="8BF58B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8BF58B"/>
          </a:solidFill>
          <a:ln>
            <a:noFill/>
          </a:ln>
          <a:effectLst/>
        </c:spPr>
      </c:pivotFmt>
      <c:pivotFmt>
        <c:idx val="5"/>
        <c:spPr>
          <a:solidFill>
            <a:srgbClr val="8BF58B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rgbClr val="8BF58B"/>
          </a:solidFill>
          <a:ln>
            <a:noFill/>
          </a:ln>
          <a:effectLst/>
        </c:spPr>
      </c:pivotFmt>
      <c:pivotFmt>
        <c:idx val="8"/>
        <c:spPr>
          <a:solidFill>
            <a:srgbClr val="8BF58B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8BF58B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8BF58B"/>
              </a:solidFill>
              <a:ln>
                <a:noFill/>
              </a:ln>
              <a:effectLst/>
            </c:spPr>
          </c:dPt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5363760"/>
        <c:axId val="1125347984"/>
      </c:barChart>
      <c:catAx>
        <c:axId val="1125363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5347984"/>
        <c:crosses val="autoZero"/>
        <c:auto val="1"/>
        <c:lblAlgn val="ctr"/>
        <c:lblOffset val="100"/>
        <c:noMultiLvlLbl val="0"/>
      </c:catAx>
      <c:valAx>
        <c:axId val="112534798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112536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7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NULL"/><Relationship Id="rId5" Type="http://schemas.openxmlformats.org/officeDocument/2006/relationships/image" Target="../media/image10.svg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xmlns="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xmlns="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xmlns="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xmlns="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xmlns="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xmlns="" id="{A71E6AF1-ADEE-EB3B-0380-7B4EF5640C97}"/>
            </a:ext>
          </a:extLst>
        </xdr:cNvPr>
        <xdr:cNvGrpSpPr/>
      </xdr:nvGrpSpPr>
      <xdr:grpSpPr>
        <a:xfrm>
          <a:off x="1135592" y="5141382"/>
          <a:ext cx="1784426" cy="710143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xmlns="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xmlns="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3" name="Agrupar 27">
          <a:extLst>
            <a:ext uri="{FF2B5EF4-FFF2-40B4-BE49-F238E27FC236}">
              <a16:creationId xmlns:a16="http://schemas.microsoft.com/office/drawing/2014/main" xmlns="" id="{A41F36A7-AB9C-196A-291F-D90799A3B69C}"/>
            </a:ext>
          </a:extLst>
        </xdr:cNvPr>
        <xdr:cNvGrpSpPr/>
      </xdr:nvGrpSpPr>
      <xdr:grpSpPr>
        <a:xfrm>
          <a:off x="8736806" y="1181101"/>
          <a:ext cx="5298281" cy="1500187"/>
          <a:chOff x="7534275" y="1247775"/>
          <a:chExt cx="4655344" cy="1571625"/>
        </a:xfrm>
      </xdr:grpSpPr>
      <xdr:grpSp>
        <xdr:nvGrpSpPr>
          <xdr:cNvPr id="4" name="Agrupar 19">
            <a:extLst>
              <a:ext uri="{FF2B5EF4-FFF2-40B4-BE49-F238E27FC236}">
                <a16:creationId xmlns:a16="http://schemas.microsoft.com/office/drawing/2014/main" xmlns="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8" name="Retângulo: Cantos Arredondados 20">
              <a:extLst>
                <a:ext uri="{FF2B5EF4-FFF2-40B4-BE49-F238E27FC236}">
                  <a16:creationId xmlns:a16="http://schemas.microsoft.com/office/drawing/2014/main" xmlns="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[1]C̳álculos!E36">
          <xdr:nvSpPr>
            <xdr:cNvPr id="9" name="Retângulo: Cantos Arredondados 21">
              <a:extLst>
                <a:ext uri="{FF2B5EF4-FFF2-40B4-BE49-F238E27FC236}">
                  <a16:creationId xmlns:a16="http://schemas.microsoft.com/office/drawing/2014/main" xmlns="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0" name="Retângulo: Cantos Superiores Arredondados 23">
              <a:extLst>
                <a:ext uri="{FF2B5EF4-FFF2-40B4-BE49-F238E27FC236}">
                  <a16:creationId xmlns:a16="http://schemas.microsoft.com/office/drawing/2014/main" xmlns="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5" name="Agrupar 24">
            <a:extLst>
              <a:ext uri="{FF2B5EF4-FFF2-40B4-BE49-F238E27FC236}">
                <a16:creationId xmlns:a16="http://schemas.microsoft.com/office/drawing/2014/main" xmlns="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xmlns="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7" name="Gráfico 26">
              <a:extLst>
                <a:ext uri="{FF2B5EF4-FFF2-40B4-BE49-F238E27FC236}">
                  <a16:creationId xmlns:a16="http://schemas.microsoft.com/office/drawing/2014/main" xmlns="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96DAC541-7B7A-43D3-8B79-37D633B846F1}">
                  <asvg:svgBlip xmlns:asvg="http://schemas.microsoft.com/office/drawing/2016/SVG/main" xmlns="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17" name="Agrupar 27">
          <a:extLst>
            <a:ext uri="{FF2B5EF4-FFF2-40B4-BE49-F238E27FC236}">
              <a16:creationId xmlns=""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8736806" y="1181101"/>
          <a:ext cx="5298281" cy="1500187"/>
          <a:chOff x="7534275" y="1247775"/>
          <a:chExt cx="4655344" cy="1571625"/>
        </a:xfrm>
      </xdr:grpSpPr>
      <xdr:grpSp>
        <xdr:nvGrpSpPr>
          <xdr:cNvPr id="18" name="Agrupar 19">
            <a:extLst>
              <a:ext uri="{FF2B5EF4-FFF2-40B4-BE49-F238E27FC236}">
                <a16:creationId xmlns=""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2" name="Retângulo: Cantos Arredondados 20">
              <a:extLst>
                <a:ext uri="{FF2B5EF4-FFF2-40B4-BE49-F238E27FC236}">
                  <a16:creationId xmlns=""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[1]C̳álculos!E36">
          <xdr:nvSpPr>
            <xdr:cNvPr id="23" name="Retângulo: Cantos Arredondados 21">
              <a:extLst>
                <a:ext uri="{FF2B5EF4-FFF2-40B4-BE49-F238E27FC236}">
                  <a16:creationId xmlns=""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=""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19" name="Agrupar 24">
            <a:extLst>
              <a:ext uri="{FF2B5EF4-FFF2-40B4-BE49-F238E27FC236}">
                <a16:creationId xmlns=""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=""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6">
              <a:extLst>
                <a:ext uri="{FF2B5EF4-FFF2-40B4-BE49-F238E27FC236}">
                  <a16:creationId xmlns=""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96DAC541-7B7A-43D3-8B79-37D633B846F1}">
                  <asvg:svgBlip xmlns=""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2</xdr:col>
      <xdr:colOff>202406</xdr:colOff>
      <xdr:row>7</xdr:row>
      <xdr:rowOff>0</xdr:rowOff>
    </xdr:from>
    <xdr:to>
      <xdr:col>9</xdr:col>
      <xdr:colOff>372498</xdr:colOff>
      <xdr:row>15</xdr:row>
      <xdr:rowOff>142163</xdr:rowOff>
    </xdr:to>
    <xdr:pic>
      <xdr:nvPicPr>
        <xdr:cNvPr id="33" name="Imagem 3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59844" y="1238250"/>
          <a:ext cx="5004029" cy="1535194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17</xdr:row>
      <xdr:rowOff>71439</xdr:rowOff>
    </xdr:from>
    <xdr:to>
      <xdr:col>19</xdr:col>
      <xdr:colOff>83344</xdr:colOff>
      <xdr:row>30</xdr:row>
      <xdr:rowOff>47624</xdr:rowOff>
    </xdr:to>
    <xdr:graphicFrame macro="">
      <xdr:nvGraphicFramePr>
        <xdr:cNvPr id="36" name="Gráfico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83344</xdr:colOff>
      <xdr:row>7</xdr:row>
      <xdr:rowOff>50801</xdr:rowOff>
    </xdr:from>
    <xdr:to>
      <xdr:col>0</xdr:col>
      <xdr:colOff>1912144</xdr:colOff>
      <xdr:row>20</xdr:row>
      <xdr:rowOff>22226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7" name="Subscription Typ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344" y="1289051"/>
              <a:ext cx="1828800" cy="2257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0</xdr:colOff>
      <xdr:row>0</xdr:row>
      <xdr:rowOff>0</xdr:rowOff>
    </xdr:from>
    <xdr:to>
      <xdr:col>2</xdr:col>
      <xdr:colOff>439411</xdr:colOff>
      <xdr:row>2</xdr:row>
      <xdr:rowOff>248601</xdr:rowOff>
    </xdr:to>
    <xdr:pic>
      <xdr:nvPicPr>
        <xdr:cNvPr id="38" name="Imagem 37">
          <a:extLst>
            <a:ext uri="{FF2B5EF4-FFF2-40B4-BE49-F238E27FC236}">
              <a16:creationId xmlns=""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2083594" y="0"/>
          <a:ext cx="713255" cy="784382"/>
        </a:xfrm>
        <a:prstGeom prst="rect">
          <a:avLst/>
        </a:prstGeom>
      </xdr:spPr>
    </xdr:pic>
    <xdr:clientData/>
  </xdr:twoCellAnchor>
  <xdr:twoCellAnchor>
    <xdr:from>
      <xdr:col>5</xdr:col>
      <xdr:colOff>511970</xdr:colOff>
      <xdr:row>10</xdr:row>
      <xdr:rowOff>166687</xdr:rowOff>
    </xdr:from>
    <xdr:to>
      <xdr:col>8</xdr:col>
      <xdr:colOff>619126</xdr:colOff>
      <xdr:row>14</xdr:row>
      <xdr:rowOff>71437</xdr:rowOff>
    </xdr:to>
    <xdr:sp macro="" textlink="">
      <xdr:nvSpPr>
        <xdr:cNvPr id="43" name="Retângulo de cantos arredondados 42"/>
        <xdr:cNvSpPr/>
      </xdr:nvSpPr>
      <xdr:spPr>
        <a:xfrm>
          <a:off x="4941095" y="1905000"/>
          <a:ext cx="2178844" cy="619125"/>
        </a:xfrm>
        <a:prstGeom prst="roundRect">
          <a:avLst/>
        </a:prstGeom>
        <a:ln>
          <a:noFill/>
        </a:ln>
        <a:effectLst>
          <a:softEdge rad="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=</a:t>
          </a:r>
        </a:p>
      </xdr:txBody>
    </xdr:sp>
    <xdr:clientData/>
  </xdr:twoCellAnchor>
  <xdr:twoCellAnchor>
    <xdr:from>
      <xdr:col>14</xdr:col>
      <xdr:colOff>664368</xdr:colOff>
      <xdr:row>11</xdr:row>
      <xdr:rowOff>2383</xdr:rowOff>
    </xdr:from>
    <xdr:to>
      <xdr:col>18</xdr:col>
      <xdr:colOff>80962</xdr:colOff>
      <xdr:row>14</xdr:row>
      <xdr:rowOff>85726</xdr:rowOff>
    </xdr:to>
    <xdr:sp macro="" textlink="">
      <xdr:nvSpPr>
        <xdr:cNvPr id="44" name="Retângulo de cantos arredondados 43"/>
        <xdr:cNvSpPr/>
      </xdr:nvSpPr>
      <xdr:spPr>
        <a:xfrm>
          <a:off x="11118056" y="1919289"/>
          <a:ext cx="2178844" cy="619125"/>
        </a:xfrm>
        <a:prstGeom prst="roundRect">
          <a:avLst/>
        </a:prstGeom>
        <a:ln>
          <a:noFill/>
        </a:ln>
        <a:effectLst>
          <a:softEdge rad="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=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esafio%20Rxcel%20com%20Copilot%20Finalizado%200120950e-64c8-4092-a257-ba22ed198c6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̳ssets"/>
      <sheetName val="B̳ases"/>
      <sheetName val="C̳álculos"/>
      <sheetName val="D̳ashboard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rcelo.Renata" refreshedDate="45760.931509837967" createdVersion="5" refreshedVersion="5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d v="2024-01-01T00:00:00"/>
    <x v="0"/>
    <n v="15"/>
    <x v="0"/>
    <s v="Yes"/>
    <n v="30"/>
    <s v="Yes"/>
    <n v="20"/>
    <n v="5"/>
    <n v="60"/>
  </r>
  <r>
    <n v="3232"/>
    <x v="1"/>
    <x v="1"/>
    <d v="2024-01-15T00:00:00"/>
    <x v="1"/>
    <n v="5"/>
    <x v="1"/>
    <s v="No"/>
    <s v="-"/>
    <s v="No"/>
    <n v="0"/>
    <n v="0"/>
    <n v="5"/>
  </r>
  <r>
    <n v="3233"/>
    <x v="2"/>
    <x v="2"/>
    <d v="2024-02-10T00:00:00"/>
    <x v="0"/>
    <n v="10"/>
    <x v="2"/>
    <s v="No"/>
    <s v="-"/>
    <s v="Yes"/>
    <n v="20"/>
    <n v="10"/>
    <n v="20"/>
  </r>
  <r>
    <n v="3234"/>
    <x v="3"/>
    <x v="0"/>
    <d v="2024-02-20T00:00:00"/>
    <x v="1"/>
    <n v="15"/>
    <x v="0"/>
    <s v="Yes"/>
    <n v="30"/>
    <s v="Yes"/>
    <n v="20"/>
    <n v="3"/>
    <n v="62"/>
  </r>
  <r>
    <n v="3235"/>
    <x v="4"/>
    <x v="1"/>
    <d v="2024-03-05T00:00:00"/>
    <x v="0"/>
    <n v="5"/>
    <x v="0"/>
    <s v="No"/>
    <s v="-"/>
    <s v="No"/>
    <n v="0"/>
    <n v="1"/>
    <n v="4"/>
  </r>
  <r>
    <n v="3236"/>
    <x v="5"/>
    <x v="2"/>
    <d v="2024-03-02T00:00:00"/>
    <x v="1"/>
    <n v="10"/>
    <x v="0"/>
    <s v="No"/>
    <s v="-"/>
    <s v="Yes"/>
    <n v="20"/>
    <n v="2"/>
    <n v="28"/>
  </r>
  <r>
    <n v="3237"/>
    <x v="6"/>
    <x v="0"/>
    <d v="2024-03-03T00:00:00"/>
    <x v="0"/>
    <n v="15"/>
    <x v="2"/>
    <s v="Yes"/>
    <n v="30"/>
    <s v="Yes"/>
    <n v="20"/>
    <n v="10"/>
    <n v="55"/>
  </r>
  <r>
    <n v="3238"/>
    <x v="7"/>
    <x v="1"/>
    <d v="2024-03-04T00:00:00"/>
    <x v="0"/>
    <n v="5"/>
    <x v="1"/>
    <s v="No"/>
    <s v="-"/>
    <s v="No"/>
    <n v="0"/>
    <n v="0"/>
    <n v="5"/>
  </r>
  <r>
    <n v="3239"/>
    <x v="8"/>
    <x v="0"/>
    <d v="2024-03-05T00:00:00"/>
    <x v="1"/>
    <n v="15"/>
    <x v="0"/>
    <s v="Yes"/>
    <n v="30"/>
    <s v="Yes"/>
    <n v="20"/>
    <n v="5"/>
    <n v="60"/>
  </r>
  <r>
    <n v="3240"/>
    <x v="9"/>
    <x v="2"/>
    <d v="2024-03-06T00:00:00"/>
    <x v="0"/>
    <n v="10"/>
    <x v="2"/>
    <s v="No"/>
    <s v="-"/>
    <s v="Yes"/>
    <n v="20"/>
    <n v="15"/>
    <n v="15"/>
  </r>
  <r>
    <n v="3241"/>
    <x v="10"/>
    <x v="1"/>
    <d v="2024-03-07T00:00:00"/>
    <x v="1"/>
    <n v="5"/>
    <x v="0"/>
    <s v="No"/>
    <s v="-"/>
    <s v="No"/>
    <n v="0"/>
    <n v="1"/>
    <n v="4"/>
  </r>
  <r>
    <n v="3242"/>
    <x v="11"/>
    <x v="0"/>
    <d v="2024-03-08T00:00:00"/>
    <x v="0"/>
    <n v="15"/>
    <x v="1"/>
    <s v="Yes"/>
    <n v="30"/>
    <s v="Yes"/>
    <n v="20"/>
    <n v="20"/>
    <n v="45"/>
  </r>
  <r>
    <n v="3243"/>
    <x v="12"/>
    <x v="2"/>
    <d v="2024-03-09T00:00:00"/>
    <x v="1"/>
    <n v="10"/>
    <x v="0"/>
    <s v="No"/>
    <s v="-"/>
    <s v="Yes"/>
    <n v="20"/>
    <n v="10"/>
    <n v="20"/>
  </r>
  <r>
    <n v="3244"/>
    <x v="13"/>
    <x v="1"/>
    <d v="2024-03-10T00:00:00"/>
    <x v="0"/>
    <n v="5"/>
    <x v="2"/>
    <s v="No"/>
    <s v="-"/>
    <s v="No"/>
    <n v="0"/>
    <n v="0"/>
    <n v="5"/>
  </r>
  <r>
    <n v="3245"/>
    <x v="14"/>
    <x v="0"/>
    <d v="2024-03-11T00:00:00"/>
    <x v="1"/>
    <n v="15"/>
    <x v="0"/>
    <s v="Yes"/>
    <n v="30"/>
    <s v="Yes"/>
    <n v="20"/>
    <n v="8"/>
    <n v="57"/>
  </r>
  <r>
    <n v="3246"/>
    <x v="15"/>
    <x v="2"/>
    <d v="2024-03-12T00:00:00"/>
    <x v="0"/>
    <n v="10"/>
    <x v="1"/>
    <s v="No"/>
    <s v="-"/>
    <s v="Yes"/>
    <n v="20"/>
    <n v="12"/>
    <n v="18"/>
  </r>
  <r>
    <n v="3247"/>
    <x v="16"/>
    <x v="1"/>
    <d v="2024-03-13T00:00:00"/>
    <x v="1"/>
    <n v="5"/>
    <x v="0"/>
    <s v="No"/>
    <s v="-"/>
    <s v="No"/>
    <n v="0"/>
    <n v="2"/>
    <n v="3"/>
  </r>
  <r>
    <n v="3248"/>
    <x v="17"/>
    <x v="0"/>
    <d v="2024-03-14T00:00:00"/>
    <x v="0"/>
    <n v="15"/>
    <x v="2"/>
    <s v="Yes"/>
    <n v="30"/>
    <s v="Yes"/>
    <n v="20"/>
    <n v="7"/>
    <n v="58"/>
  </r>
  <r>
    <n v="3249"/>
    <x v="18"/>
    <x v="2"/>
    <d v="2024-03-15T00:00:00"/>
    <x v="1"/>
    <n v="10"/>
    <x v="0"/>
    <s v="No"/>
    <s v="-"/>
    <s v="Yes"/>
    <n v="20"/>
    <n v="5"/>
    <n v="25"/>
  </r>
  <r>
    <n v="3250"/>
    <x v="19"/>
    <x v="1"/>
    <d v="2024-03-16T00:00:00"/>
    <x v="0"/>
    <n v="5"/>
    <x v="1"/>
    <s v="No"/>
    <s v="-"/>
    <s v="No"/>
    <n v="0"/>
    <n v="0"/>
    <n v="5"/>
  </r>
  <r>
    <n v="3251"/>
    <x v="20"/>
    <x v="0"/>
    <d v="2024-03-17T00:00:00"/>
    <x v="1"/>
    <n v="15"/>
    <x v="0"/>
    <s v="Yes"/>
    <n v="30"/>
    <s v="Yes"/>
    <n v="20"/>
    <n v="3"/>
    <n v="62"/>
  </r>
  <r>
    <n v="3252"/>
    <x v="21"/>
    <x v="2"/>
    <d v="2024-03-18T00:00:00"/>
    <x v="0"/>
    <n v="10"/>
    <x v="2"/>
    <s v="No"/>
    <s v="-"/>
    <s v="Yes"/>
    <n v="20"/>
    <n v="15"/>
    <n v="15"/>
  </r>
  <r>
    <n v="3253"/>
    <x v="22"/>
    <x v="1"/>
    <d v="2024-03-19T00:00:00"/>
    <x v="1"/>
    <n v="5"/>
    <x v="0"/>
    <s v="No"/>
    <s v="-"/>
    <s v="No"/>
    <n v="0"/>
    <n v="1"/>
    <n v="4"/>
  </r>
  <r>
    <n v="3254"/>
    <x v="23"/>
    <x v="0"/>
    <d v="2024-03-20T00:00:00"/>
    <x v="0"/>
    <n v="15"/>
    <x v="1"/>
    <s v="Yes"/>
    <n v="30"/>
    <s v="Yes"/>
    <n v="20"/>
    <n v="20"/>
    <n v="45"/>
  </r>
  <r>
    <n v="3255"/>
    <x v="24"/>
    <x v="2"/>
    <d v="2024-03-21T00:00:00"/>
    <x v="1"/>
    <n v="10"/>
    <x v="0"/>
    <s v="No"/>
    <s v="-"/>
    <s v="Yes"/>
    <n v="20"/>
    <n v="10"/>
    <n v="20"/>
  </r>
  <r>
    <n v="3256"/>
    <x v="25"/>
    <x v="1"/>
    <d v="2024-03-22T00:00:00"/>
    <x v="0"/>
    <n v="5"/>
    <x v="2"/>
    <s v="No"/>
    <s v="-"/>
    <s v="No"/>
    <n v="0"/>
    <n v="0"/>
    <n v="5"/>
  </r>
  <r>
    <n v="3257"/>
    <x v="26"/>
    <x v="0"/>
    <d v="2024-03-23T00:00:00"/>
    <x v="1"/>
    <n v="15"/>
    <x v="0"/>
    <s v="Yes"/>
    <n v="30"/>
    <s v="Yes"/>
    <n v="20"/>
    <n v="5"/>
    <n v="60"/>
  </r>
  <r>
    <n v="3258"/>
    <x v="27"/>
    <x v="2"/>
    <d v="2024-03-24T00:00:00"/>
    <x v="0"/>
    <n v="10"/>
    <x v="1"/>
    <s v="No"/>
    <s v="-"/>
    <s v="Yes"/>
    <n v="20"/>
    <n v="15"/>
    <n v="15"/>
  </r>
  <r>
    <n v="3259"/>
    <x v="28"/>
    <x v="1"/>
    <d v="2024-03-25T00:00:00"/>
    <x v="1"/>
    <n v="5"/>
    <x v="0"/>
    <s v="No"/>
    <s v="-"/>
    <s v="No"/>
    <n v="0"/>
    <n v="1"/>
    <n v="4"/>
  </r>
  <r>
    <n v="3260"/>
    <x v="29"/>
    <x v="0"/>
    <d v="2024-03-26T00:00:00"/>
    <x v="0"/>
    <n v="15"/>
    <x v="2"/>
    <s v="Yes"/>
    <n v="30"/>
    <s v="Yes"/>
    <n v="20"/>
    <n v="7"/>
    <n v="58"/>
  </r>
  <r>
    <n v="3261"/>
    <x v="30"/>
    <x v="2"/>
    <d v="2024-03-27T00:00:00"/>
    <x v="1"/>
    <n v="10"/>
    <x v="0"/>
    <s v="No"/>
    <s v="-"/>
    <s v="Yes"/>
    <n v="20"/>
    <n v="10"/>
    <n v="20"/>
  </r>
  <r>
    <n v="3262"/>
    <x v="31"/>
    <x v="1"/>
    <d v="2024-03-28T00:00:00"/>
    <x v="0"/>
    <n v="5"/>
    <x v="1"/>
    <s v="No"/>
    <s v="-"/>
    <s v="No"/>
    <n v="0"/>
    <n v="0"/>
    <n v="5"/>
  </r>
  <r>
    <n v="3263"/>
    <x v="32"/>
    <x v="0"/>
    <d v="2024-03-29T00:00:00"/>
    <x v="1"/>
    <n v="15"/>
    <x v="0"/>
    <s v="Yes"/>
    <n v="30"/>
    <s v="Yes"/>
    <n v="20"/>
    <n v="3"/>
    <n v="62"/>
  </r>
  <r>
    <n v="3264"/>
    <x v="33"/>
    <x v="2"/>
    <d v="2024-03-30T00:00:00"/>
    <x v="0"/>
    <n v="10"/>
    <x v="2"/>
    <s v="No"/>
    <s v="-"/>
    <s v="Yes"/>
    <n v="20"/>
    <n v="15"/>
    <n v="15"/>
  </r>
  <r>
    <n v="3265"/>
    <x v="34"/>
    <x v="1"/>
    <d v="2024-03-31T00:00:00"/>
    <x v="1"/>
    <n v="5"/>
    <x v="0"/>
    <s v="No"/>
    <s v="-"/>
    <s v="No"/>
    <n v="0"/>
    <n v="1"/>
    <n v="4"/>
  </r>
  <r>
    <n v="3266"/>
    <x v="35"/>
    <x v="1"/>
    <d v="2024-04-01T00:00:00"/>
    <x v="0"/>
    <n v="5"/>
    <x v="0"/>
    <s v="No"/>
    <s v="-"/>
    <s v="No"/>
    <n v="0"/>
    <n v="0"/>
    <n v="5"/>
  </r>
  <r>
    <n v="3267"/>
    <x v="36"/>
    <x v="0"/>
    <d v="2024-04-02T00:00:00"/>
    <x v="1"/>
    <n v="15"/>
    <x v="2"/>
    <s v="Yes"/>
    <n v="30"/>
    <s v="Yes"/>
    <n v="20"/>
    <n v="7"/>
    <n v="58"/>
  </r>
  <r>
    <n v="3268"/>
    <x v="37"/>
    <x v="2"/>
    <d v="2024-04-03T00:00:00"/>
    <x v="0"/>
    <n v="10"/>
    <x v="1"/>
    <s v="No"/>
    <s v="-"/>
    <s v="Yes"/>
    <n v="20"/>
    <n v="10"/>
    <n v="20"/>
  </r>
  <r>
    <n v="3269"/>
    <x v="38"/>
    <x v="1"/>
    <d v="2024-04-04T00:00:00"/>
    <x v="1"/>
    <n v="5"/>
    <x v="2"/>
    <s v="No"/>
    <s v="-"/>
    <s v="No"/>
    <n v="0"/>
    <n v="1"/>
    <n v="4"/>
  </r>
  <r>
    <n v="3270"/>
    <x v="39"/>
    <x v="0"/>
    <d v="2024-04-05T00:00:00"/>
    <x v="0"/>
    <n v="15"/>
    <x v="0"/>
    <s v="Yes"/>
    <n v="30"/>
    <s v="Yes"/>
    <n v="20"/>
    <n v="15"/>
    <n v="50"/>
  </r>
  <r>
    <n v="3271"/>
    <x v="40"/>
    <x v="2"/>
    <d v="2024-04-06T00:00:00"/>
    <x v="1"/>
    <n v="10"/>
    <x v="0"/>
    <s v="No"/>
    <s v="-"/>
    <s v="Yes"/>
    <n v="20"/>
    <n v="5"/>
    <n v="25"/>
  </r>
  <r>
    <n v="3272"/>
    <x v="41"/>
    <x v="1"/>
    <d v="2024-04-07T00:00:00"/>
    <x v="0"/>
    <n v="5"/>
    <x v="1"/>
    <s v="No"/>
    <s v="-"/>
    <s v="No"/>
    <n v="0"/>
    <n v="0"/>
    <n v="5"/>
  </r>
  <r>
    <n v="3273"/>
    <x v="42"/>
    <x v="0"/>
    <d v="2024-04-08T00:00:00"/>
    <x v="1"/>
    <n v="15"/>
    <x v="2"/>
    <s v="Yes"/>
    <n v="30"/>
    <s v="Yes"/>
    <n v="20"/>
    <n v="20"/>
    <n v="45"/>
  </r>
  <r>
    <n v="3274"/>
    <x v="43"/>
    <x v="2"/>
    <d v="2024-04-09T00:00:00"/>
    <x v="0"/>
    <n v="10"/>
    <x v="2"/>
    <s v="No"/>
    <s v="-"/>
    <s v="Yes"/>
    <n v="20"/>
    <n v="12"/>
    <n v="18"/>
  </r>
  <r>
    <n v="3275"/>
    <x v="44"/>
    <x v="1"/>
    <d v="2024-04-10T00:00:00"/>
    <x v="1"/>
    <n v="5"/>
    <x v="0"/>
    <s v="No"/>
    <s v="-"/>
    <s v="No"/>
    <n v="0"/>
    <n v="2"/>
    <n v="3"/>
  </r>
  <r>
    <n v="3276"/>
    <x v="45"/>
    <x v="0"/>
    <d v="2024-04-11T00:00:00"/>
    <x v="0"/>
    <n v="15"/>
    <x v="1"/>
    <s v="Yes"/>
    <n v="30"/>
    <s v="Yes"/>
    <n v="20"/>
    <n v="5"/>
    <n v="60"/>
  </r>
  <r>
    <n v="3277"/>
    <x v="46"/>
    <x v="2"/>
    <d v="2024-04-12T00:00:00"/>
    <x v="1"/>
    <n v="10"/>
    <x v="0"/>
    <s v="No"/>
    <s v="-"/>
    <s v="Yes"/>
    <n v="20"/>
    <n v="10"/>
    <n v="20"/>
  </r>
  <r>
    <n v="3278"/>
    <x v="47"/>
    <x v="1"/>
    <d v="2024-04-13T00:00:00"/>
    <x v="0"/>
    <n v="5"/>
    <x v="2"/>
    <s v="No"/>
    <s v="-"/>
    <s v="No"/>
    <n v="0"/>
    <n v="0"/>
    <n v="5"/>
  </r>
  <r>
    <n v="3279"/>
    <x v="48"/>
    <x v="0"/>
    <d v="2024-04-14T00:00:00"/>
    <x v="1"/>
    <n v="15"/>
    <x v="0"/>
    <s v="Yes"/>
    <n v="30"/>
    <s v="Yes"/>
    <n v="20"/>
    <n v="3"/>
    <n v="62"/>
  </r>
  <r>
    <n v="3280"/>
    <x v="49"/>
    <x v="2"/>
    <d v="2024-04-15T00:00:00"/>
    <x v="0"/>
    <n v="10"/>
    <x v="1"/>
    <s v="No"/>
    <s v="-"/>
    <s v="Yes"/>
    <n v="20"/>
    <n v="15"/>
    <n v="15"/>
  </r>
  <r>
    <n v="3281"/>
    <x v="50"/>
    <x v="1"/>
    <d v="2024-04-16T00:00:00"/>
    <x v="1"/>
    <n v="5"/>
    <x v="0"/>
    <s v="No"/>
    <s v="-"/>
    <s v="No"/>
    <n v="0"/>
    <n v="1"/>
    <n v="4"/>
  </r>
  <r>
    <n v="3282"/>
    <x v="51"/>
    <x v="0"/>
    <d v="2024-04-17T00:00:00"/>
    <x v="0"/>
    <n v="15"/>
    <x v="2"/>
    <s v="Yes"/>
    <n v="30"/>
    <s v="Yes"/>
    <n v="20"/>
    <n v="7"/>
    <n v="58"/>
  </r>
  <r>
    <n v="3283"/>
    <x v="52"/>
    <x v="2"/>
    <d v="2024-04-18T00:00:00"/>
    <x v="1"/>
    <n v="10"/>
    <x v="0"/>
    <s v="No"/>
    <s v="-"/>
    <s v="Yes"/>
    <n v="20"/>
    <n v="10"/>
    <n v="20"/>
  </r>
  <r>
    <n v="3284"/>
    <x v="53"/>
    <x v="1"/>
    <d v="2024-04-19T00:00:00"/>
    <x v="0"/>
    <n v="5"/>
    <x v="1"/>
    <s v="No"/>
    <s v="-"/>
    <s v="No"/>
    <n v="0"/>
    <n v="0"/>
    <n v="5"/>
  </r>
  <r>
    <n v="3285"/>
    <x v="54"/>
    <x v="0"/>
    <d v="2024-04-20T00:00:00"/>
    <x v="1"/>
    <n v="15"/>
    <x v="0"/>
    <s v="Yes"/>
    <n v="30"/>
    <s v="Yes"/>
    <n v="20"/>
    <n v="20"/>
    <n v="45"/>
  </r>
  <r>
    <n v="3286"/>
    <x v="55"/>
    <x v="2"/>
    <d v="2024-04-21T00:00:00"/>
    <x v="0"/>
    <n v="10"/>
    <x v="2"/>
    <s v="No"/>
    <s v="-"/>
    <s v="Yes"/>
    <n v="20"/>
    <n v="15"/>
    <n v="15"/>
  </r>
  <r>
    <n v="3287"/>
    <x v="56"/>
    <x v="1"/>
    <d v="2024-04-22T00:00:00"/>
    <x v="1"/>
    <n v="5"/>
    <x v="0"/>
    <s v="No"/>
    <s v="-"/>
    <s v="No"/>
    <n v="0"/>
    <n v="1"/>
    <n v="4"/>
  </r>
  <r>
    <n v="3288"/>
    <x v="57"/>
    <x v="0"/>
    <d v="2024-04-23T00:00:00"/>
    <x v="0"/>
    <n v="15"/>
    <x v="1"/>
    <s v="Yes"/>
    <n v="30"/>
    <s v="Yes"/>
    <n v="20"/>
    <n v="3"/>
    <n v="62"/>
  </r>
  <r>
    <n v="3289"/>
    <x v="58"/>
    <x v="2"/>
    <d v="2024-04-24T00:00:00"/>
    <x v="1"/>
    <n v="10"/>
    <x v="0"/>
    <s v="No"/>
    <s v="-"/>
    <s v="Yes"/>
    <n v="20"/>
    <n v="10"/>
    <n v="20"/>
  </r>
  <r>
    <n v="3290"/>
    <x v="59"/>
    <x v="1"/>
    <d v="2024-04-25T00:00:00"/>
    <x v="0"/>
    <n v="5"/>
    <x v="2"/>
    <s v="No"/>
    <s v="-"/>
    <s v="No"/>
    <n v="0"/>
    <n v="0"/>
    <n v="5"/>
  </r>
  <r>
    <n v="3291"/>
    <x v="60"/>
    <x v="0"/>
    <d v="2024-04-26T00:00:00"/>
    <x v="1"/>
    <n v="15"/>
    <x v="0"/>
    <s v="Yes"/>
    <n v="30"/>
    <s v="Yes"/>
    <n v="20"/>
    <n v="5"/>
    <n v="60"/>
  </r>
  <r>
    <n v="3292"/>
    <x v="61"/>
    <x v="2"/>
    <d v="2024-04-27T00:00:00"/>
    <x v="0"/>
    <n v="10"/>
    <x v="1"/>
    <s v="No"/>
    <s v="-"/>
    <s v="Yes"/>
    <n v="20"/>
    <n v="15"/>
    <n v="15"/>
  </r>
  <r>
    <n v="3293"/>
    <x v="62"/>
    <x v="1"/>
    <d v="2024-04-28T00:00:00"/>
    <x v="1"/>
    <n v="5"/>
    <x v="0"/>
    <s v="No"/>
    <s v="-"/>
    <s v="No"/>
    <n v="0"/>
    <n v="1"/>
    <n v="4"/>
  </r>
  <r>
    <n v="3294"/>
    <x v="63"/>
    <x v="0"/>
    <d v="2024-04-29T00:00:00"/>
    <x v="0"/>
    <n v="15"/>
    <x v="2"/>
    <s v="Yes"/>
    <n v="30"/>
    <s v="Yes"/>
    <n v="20"/>
    <n v="20"/>
    <n v="45"/>
  </r>
  <r>
    <n v="3295"/>
    <x v="64"/>
    <x v="2"/>
    <d v="2024-04-30T00:00:00"/>
    <x v="1"/>
    <n v="10"/>
    <x v="0"/>
    <s v="No"/>
    <s v="-"/>
    <s v="Yes"/>
    <n v="20"/>
    <n v="5"/>
    <n v="25"/>
  </r>
  <r>
    <n v="3296"/>
    <x v="65"/>
    <x v="1"/>
    <d v="2024-05-01T00:00:00"/>
    <x v="1"/>
    <n v="5"/>
    <x v="0"/>
    <s v="No"/>
    <s v="-"/>
    <s v="No"/>
    <n v="0"/>
    <n v="0"/>
    <n v="5"/>
  </r>
  <r>
    <n v="3297"/>
    <x v="66"/>
    <x v="0"/>
    <d v="2024-05-02T00:00:00"/>
    <x v="0"/>
    <n v="15"/>
    <x v="2"/>
    <s v="Yes"/>
    <n v="30"/>
    <s v="Yes"/>
    <n v="20"/>
    <n v="7"/>
    <n v="58"/>
  </r>
  <r>
    <n v="3298"/>
    <x v="67"/>
    <x v="2"/>
    <d v="2024-05-03T00:00:00"/>
    <x v="1"/>
    <n v="10"/>
    <x v="1"/>
    <s v="No"/>
    <s v="-"/>
    <s v="Yes"/>
    <n v="20"/>
    <n v="10"/>
    <n v="20"/>
  </r>
  <r>
    <n v="3299"/>
    <x v="68"/>
    <x v="1"/>
    <d v="2024-05-04T00:00:00"/>
    <x v="0"/>
    <n v="5"/>
    <x v="2"/>
    <s v="No"/>
    <s v="-"/>
    <s v="No"/>
    <n v="0"/>
    <n v="1"/>
    <n v="4"/>
  </r>
  <r>
    <n v="3300"/>
    <x v="69"/>
    <x v="0"/>
    <d v="2024-05-05T00:00:00"/>
    <x v="1"/>
    <n v="15"/>
    <x v="0"/>
    <s v="Yes"/>
    <n v="30"/>
    <s v="Yes"/>
    <n v="20"/>
    <n v="15"/>
    <n v="50"/>
  </r>
  <r>
    <n v="3301"/>
    <x v="70"/>
    <x v="2"/>
    <d v="2024-05-06T00:00:00"/>
    <x v="0"/>
    <n v="10"/>
    <x v="0"/>
    <s v="No"/>
    <s v="-"/>
    <s v="Yes"/>
    <n v="20"/>
    <n v="5"/>
    <n v="25"/>
  </r>
  <r>
    <n v="3302"/>
    <x v="71"/>
    <x v="1"/>
    <d v="2024-05-07T00:00:00"/>
    <x v="1"/>
    <n v="5"/>
    <x v="1"/>
    <s v="No"/>
    <s v="-"/>
    <s v="No"/>
    <n v="0"/>
    <n v="0"/>
    <n v="5"/>
  </r>
  <r>
    <n v="3303"/>
    <x v="72"/>
    <x v="0"/>
    <d v="2024-05-08T00:00:00"/>
    <x v="0"/>
    <n v="15"/>
    <x v="2"/>
    <s v="Yes"/>
    <n v="30"/>
    <s v="Yes"/>
    <n v="20"/>
    <n v="20"/>
    <n v="45"/>
  </r>
  <r>
    <n v="3304"/>
    <x v="73"/>
    <x v="2"/>
    <d v="2024-05-09T00:00:00"/>
    <x v="1"/>
    <n v="10"/>
    <x v="2"/>
    <s v="No"/>
    <s v="-"/>
    <s v="Yes"/>
    <n v="20"/>
    <n v="12"/>
    <n v="18"/>
  </r>
  <r>
    <n v="3305"/>
    <x v="74"/>
    <x v="1"/>
    <d v="2024-05-10T00:00:00"/>
    <x v="0"/>
    <n v="5"/>
    <x v="0"/>
    <s v="No"/>
    <s v="-"/>
    <s v="No"/>
    <n v="0"/>
    <n v="2"/>
    <n v="3"/>
  </r>
  <r>
    <n v="3306"/>
    <x v="75"/>
    <x v="0"/>
    <d v="2024-05-11T00:00:00"/>
    <x v="1"/>
    <n v="15"/>
    <x v="1"/>
    <s v="Yes"/>
    <n v="30"/>
    <s v="Yes"/>
    <n v="20"/>
    <n v="5"/>
    <n v="60"/>
  </r>
  <r>
    <n v="3307"/>
    <x v="76"/>
    <x v="2"/>
    <d v="2024-05-12T00:00:00"/>
    <x v="0"/>
    <n v="10"/>
    <x v="0"/>
    <s v="No"/>
    <s v="-"/>
    <s v="Yes"/>
    <n v="20"/>
    <n v="10"/>
    <n v="20"/>
  </r>
  <r>
    <n v="3308"/>
    <x v="77"/>
    <x v="1"/>
    <d v="2024-05-13T00:00:00"/>
    <x v="1"/>
    <n v="5"/>
    <x v="2"/>
    <s v="No"/>
    <s v="-"/>
    <s v="No"/>
    <n v="0"/>
    <n v="0"/>
    <n v="5"/>
  </r>
  <r>
    <n v="3309"/>
    <x v="78"/>
    <x v="0"/>
    <d v="2024-05-14T00:00:00"/>
    <x v="0"/>
    <n v="15"/>
    <x v="0"/>
    <s v="Yes"/>
    <n v="30"/>
    <s v="Yes"/>
    <n v="20"/>
    <n v="3"/>
    <n v="62"/>
  </r>
  <r>
    <n v="3310"/>
    <x v="79"/>
    <x v="2"/>
    <d v="2024-05-15T00:00:00"/>
    <x v="1"/>
    <n v="10"/>
    <x v="1"/>
    <s v="No"/>
    <s v="-"/>
    <s v="Yes"/>
    <n v="20"/>
    <n v="15"/>
    <n v="15"/>
  </r>
  <r>
    <n v="3311"/>
    <x v="80"/>
    <x v="1"/>
    <d v="2024-05-16T00:00:00"/>
    <x v="0"/>
    <n v="5"/>
    <x v="0"/>
    <s v="No"/>
    <s v="-"/>
    <s v="No"/>
    <n v="0"/>
    <n v="1"/>
    <n v="4"/>
  </r>
  <r>
    <n v="3312"/>
    <x v="81"/>
    <x v="0"/>
    <d v="2024-05-17T00:00:00"/>
    <x v="1"/>
    <n v="15"/>
    <x v="2"/>
    <s v="Yes"/>
    <n v="30"/>
    <s v="Yes"/>
    <n v="20"/>
    <n v="7"/>
    <n v="58"/>
  </r>
  <r>
    <n v="3313"/>
    <x v="82"/>
    <x v="2"/>
    <d v="2024-05-18T00:00:00"/>
    <x v="0"/>
    <n v="10"/>
    <x v="0"/>
    <s v="No"/>
    <s v="-"/>
    <s v="Yes"/>
    <n v="20"/>
    <n v="10"/>
    <n v="20"/>
  </r>
  <r>
    <n v="3314"/>
    <x v="83"/>
    <x v="1"/>
    <d v="2024-05-19T00:00:00"/>
    <x v="1"/>
    <n v="5"/>
    <x v="1"/>
    <s v="No"/>
    <s v="-"/>
    <s v="No"/>
    <n v="0"/>
    <n v="0"/>
    <n v="5"/>
  </r>
  <r>
    <n v="3315"/>
    <x v="84"/>
    <x v="0"/>
    <d v="2024-05-20T00:00:00"/>
    <x v="0"/>
    <n v="15"/>
    <x v="0"/>
    <s v="Yes"/>
    <n v="30"/>
    <s v="Yes"/>
    <n v="20"/>
    <n v="20"/>
    <n v="45"/>
  </r>
  <r>
    <n v="3316"/>
    <x v="85"/>
    <x v="2"/>
    <d v="2024-05-21T00:00:00"/>
    <x v="1"/>
    <n v="10"/>
    <x v="2"/>
    <s v="No"/>
    <s v="-"/>
    <s v="Yes"/>
    <n v="20"/>
    <n v="15"/>
    <n v="15"/>
  </r>
  <r>
    <n v="3317"/>
    <x v="86"/>
    <x v="1"/>
    <d v="2024-05-22T00:00:00"/>
    <x v="0"/>
    <n v="5"/>
    <x v="0"/>
    <s v="No"/>
    <s v="-"/>
    <s v="No"/>
    <n v="0"/>
    <n v="1"/>
    <n v="4"/>
  </r>
  <r>
    <n v="3318"/>
    <x v="87"/>
    <x v="0"/>
    <d v="2024-05-23T00:00:00"/>
    <x v="1"/>
    <n v="15"/>
    <x v="1"/>
    <s v="Yes"/>
    <n v="30"/>
    <s v="Yes"/>
    <n v="20"/>
    <n v="3"/>
    <n v="62"/>
  </r>
  <r>
    <n v="3319"/>
    <x v="88"/>
    <x v="2"/>
    <d v="2024-05-24T00:00:00"/>
    <x v="0"/>
    <n v="10"/>
    <x v="0"/>
    <s v="No"/>
    <s v="-"/>
    <s v="Yes"/>
    <n v="20"/>
    <n v="10"/>
    <n v="20"/>
  </r>
  <r>
    <n v="3320"/>
    <x v="89"/>
    <x v="1"/>
    <d v="2024-05-25T00:00:00"/>
    <x v="1"/>
    <n v="5"/>
    <x v="2"/>
    <s v="No"/>
    <s v="-"/>
    <s v="No"/>
    <n v="0"/>
    <n v="0"/>
    <n v="5"/>
  </r>
  <r>
    <n v="3321"/>
    <x v="90"/>
    <x v="0"/>
    <d v="2024-05-26T00:00:00"/>
    <x v="0"/>
    <n v="15"/>
    <x v="0"/>
    <s v="Yes"/>
    <n v="30"/>
    <s v="Yes"/>
    <n v="20"/>
    <n v="5"/>
    <n v="60"/>
  </r>
  <r>
    <n v="3322"/>
    <x v="91"/>
    <x v="2"/>
    <d v="2024-05-27T00:00:00"/>
    <x v="1"/>
    <n v="10"/>
    <x v="1"/>
    <s v="No"/>
    <s v="-"/>
    <s v="Yes"/>
    <n v="20"/>
    <n v="15"/>
    <n v="15"/>
  </r>
  <r>
    <n v="3323"/>
    <x v="92"/>
    <x v="1"/>
    <d v="2024-05-28T00:00:00"/>
    <x v="0"/>
    <n v="5"/>
    <x v="0"/>
    <s v="No"/>
    <s v="-"/>
    <s v="No"/>
    <n v="0"/>
    <n v="1"/>
    <n v="4"/>
  </r>
  <r>
    <n v="3324"/>
    <x v="93"/>
    <x v="0"/>
    <d v="2024-05-29T00:00:00"/>
    <x v="1"/>
    <n v="15"/>
    <x v="2"/>
    <s v="Yes"/>
    <n v="30"/>
    <s v="Yes"/>
    <n v="20"/>
    <n v="20"/>
    <n v="45"/>
  </r>
  <r>
    <n v="3325"/>
    <x v="94"/>
    <x v="2"/>
    <d v="2024-05-30T00:00:00"/>
    <x v="0"/>
    <n v="10"/>
    <x v="2"/>
    <s v="No"/>
    <s v="-"/>
    <s v="Yes"/>
    <n v="20"/>
    <n v="15"/>
    <n v="15"/>
  </r>
  <r>
    <n v="3326"/>
    <x v="95"/>
    <x v="1"/>
    <d v="2024-05-31T00:00:00"/>
    <x v="1"/>
    <n v="5"/>
    <x v="1"/>
    <s v="No"/>
    <s v="-"/>
    <s v="No"/>
    <n v="0"/>
    <n v="0"/>
    <n v="5"/>
  </r>
  <r>
    <n v="3327"/>
    <x v="96"/>
    <x v="0"/>
    <d v="2024-06-01T00:00:00"/>
    <x v="0"/>
    <n v="15"/>
    <x v="0"/>
    <s v="Yes"/>
    <n v="30"/>
    <s v="Yes"/>
    <n v="20"/>
    <n v="7"/>
    <n v="58"/>
  </r>
  <r>
    <n v="3328"/>
    <x v="97"/>
    <x v="2"/>
    <d v="2024-06-02T00:00:00"/>
    <x v="1"/>
    <n v="10"/>
    <x v="1"/>
    <s v="No"/>
    <s v="-"/>
    <s v="Yes"/>
    <n v="20"/>
    <n v="10"/>
    <n v="20"/>
  </r>
  <r>
    <n v="3329"/>
    <x v="98"/>
    <x v="1"/>
    <d v="2024-06-03T00:00:00"/>
    <x v="0"/>
    <n v="5"/>
    <x v="2"/>
    <s v="No"/>
    <s v="-"/>
    <s v="No"/>
    <n v="0"/>
    <n v="1"/>
    <n v="4"/>
  </r>
  <r>
    <n v="3330"/>
    <x v="99"/>
    <x v="0"/>
    <d v="2024-06-04T00:00:00"/>
    <x v="1"/>
    <n v="15"/>
    <x v="0"/>
    <s v="Yes"/>
    <n v="30"/>
    <s v="Yes"/>
    <n v="20"/>
    <n v="15"/>
    <n v="50"/>
  </r>
  <r>
    <n v="3331"/>
    <x v="100"/>
    <x v="2"/>
    <d v="2024-06-05T00:00:00"/>
    <x v="0"/>
    <n v="10"/>
    <x v="0"/>
    <s v="No"/>
    <s v="-"/>
    <s v="Yes"/>
    <n v="20"/>
    <n v="5"/>
    <n v="25"/>
  </r>
  <r>
    <n v="3332"/>
    <x v="101"/>
    <x v="1"/>
    <d v="2024-06-06T00:00:00"/>
    <x v="1"/>
    <n v="5"/>
    <x v="1"/>
    <s v="No"/>
    <s v="-"/>
    <s v="No"/>
    <n v="0"/>
    <n v="0"/>
    <n v="5"/>
  </r>
  <r>
    <n v="3333"/>
    <x v="102"/>
    <x v="0"/>
    <d v="2024-06-07T00:00:00"/>
    <x v="0"/>
    <n v="15"/>
    <x v="2"/>
    <s v="Yes"/>
    <n v="30"/>
    <s v="Yes"/>
    <n v="20"/>
    <n v="20"/>
    <n v="45"/>
  </r>
  <r>
    <n v="3334"/>
    <x v="103"/>
    <x v="2"/>
    <d v="2024-06-08T00:00:00"/>
    <x v="1"/>
    <n v="10"/>
    <x v="2"/>
    <s v="No"/>
    <s v="-"/>
    <s v="Yes"/>
    <n v="20"/>
    <n v="12"/>
    <n v="18"/>
  </r>
  <r>
    <n v="3335"/>
    <x v="104"/>
    <x v="1"/>
    <d v="2024-06-09T00:00:00"/>
    <x v="0"/>
    <n v="5"/>
    <x v="0"/>
    <s v="No"/>
    <s v="-"/>
    <s v="No"/>
    <n v="0"/>
    <n v="2"/>
    <n v="3"/>
  </r>
  <r>
    <n v="3336"/>
    <x v="105"/>
    <x v="1"/>
    <d v="2024-06-10T00:00:00"/>
    <x v="0"/>
    <n v="5"/>
    <x v="0"/>
    <s v="No"/>
    <s v="-"/>
    <s v="No"/>
    <n v="0"/>
    <n v="0"/>
    <n v="5"/>
  </r>
  <r>
    <n v="3337"/>
    <x v="106"/>
    <x v="0"/>
    <d v="2024-06-11T00:00:00"/>
    <x v="1"/>
    <n v="15"/>
    <x v="2"/>
    <s v="Yes"/>
    <n v="30"/>
    <s v="Yes"/>
    <n v="20"/>
    <n v="7"/>
    <n v="58"/>
  </r>
  <r>
    <n v="3338"/>
    <x v="107"/>
    <x v="2"/>
    <d v="2024-06-12T00:00:00"/>
    <x v="0"/>
    <n v="10"/>
    <x v="1"/>
    <s v="No"/>
    <s v="-"/>
    <s v="Yes"/>
    <n v="20"/>
    <n v="10"/>
    <n v="20"/>
  </r>
  <r>
    <n v="3339"/>
    <x v="108"/>
    <x v="1"/>
    <d v="2024-06-13T00:00:00"/>
    <x v="1"/>
    <n v="5"/>
    <x v="2"/>
    <s v="No"/>
    <s v="-"/>
    <s v="No"/>
    <n v="0"/>
    <n v="1"/>
    <n v="4"/>
  </r>
  <r>
    <n v="3340"/>
    <x v="109"/>
    <x v="0"/>
    <d v="2024-06-14T00:00:00"/>
    <x v="0"/>
    <n v="15"/>
    <x v="0"/>
    <s v="Yes"/>
    <n v="30"/>
    <s v="Yes"/>
    <n v="20"/>
    <n v="15"/>
    <n v="50"/>
  </r>
  <r>
    <n v="3341"/>
    <x v="110"/>
    <x v="2"/>
    <d v="2024-06-15T00:00:00"/>
    <x v="1"/>
    <n v="10"/>
    <x v="0"/>
    <s v="No"/>
    <s v="-"/>
    <s v="Yes"/>
    <n v="20"/>
    <n v="5"/>
    <n v="25"/>
  </r>
  <r>
    <n v="3342"/>
    <x v="111"/>
    <x v="1"/>
    <d v="2024-06-16T00:00:00"/>
    <x v="0"/>
    <n v="5"/>
    <x v="1"/>
    <s v="No"/>
    <s v="-"/>
    <s v="No"/>
    <n v="0"/>
    <n v="0"/>
    <n v="5"/>
  </r>
  <r>
    <n v="3343"/>
    <x v="112"/>
    <x v="0"/>
    <d v="2024-06-17T00:00:00"/>
    <x v="1"/>
    <n v="15"/>
    <x v="2"/>
    <s v="Yes"/>
    <n v="30"/>
    <s v="Yes"/>
    <n v="20"/>
    <n v="20"/>
    <n v="45"/>
  </r>
  <r>
    <n v="3344"/>
    <x v="113"/>
    <x v="2"/>
    <d v="2024-06-18T00:00:00"/>
    <x v="0"/>
    <n v="10"/>
    <x v="2"/>
    <s v="No"/>
    <s v="-"/>
    <s v="Yes"/>
    <n v="20"/>
    <n v="12"/>
    <n v="18"/>
  </r>
  <r>
    <n v="3345"/>
    <x v="114"/>
    <x v="1"/>
    <d v="2024-06-19T00:00:00"/>
    <x v="1"/>
    <n v="5"/>
    <x v="0"/>
    <s v="No"/>
    <s v="-"/>
    <s v="No"/>
    <n v="0"/>
    <n v="2"/>
    <n v="3"/>
  </r>
  <r>
    <n v="3346"/>
    <x v="115"/>
    <x v="0"/>
    <d v="2024-06-20T00:00:00"/>
    <x v="0"/>
    <n v="15"/>
    <x v="1"/>
    <s v="Yes"/>
    <n v="30"/>
    <s v="Yes"/>
    <n v="20"/>
    <n v="5"/>
    <n v="60"/>
  </r>
  <r>
    <n v="3347"/>
    <x v="116"/>
    <x v="2"/>
    <d v="2024-06-21T00:00:00"/>
    <x v="1"/>
    <n v="10"/>
    <x v="0"/>
    <s v="No"/>
    <s v="-"/>
    <s v="Yes"/>
    <n v="20"/>
    <n v="10"/>
    <n v="20"/>
  </r>
  <r>
    <n v="3348"/>
    <x v="117"/>
    <x v="1"/>
    <d v="2024-06-22T00:00:00"/>
    <x v="0"/>
    <n v="5"/>
    <x v="2"/>
    <s v="No"/>
    <s v="-"/>
    <s v="No"/>
    <n v="0"/>
    <n v="0"/>
    <n v="5"/>
  </r>
  <r>
    <n v="3349"/>
    <x v="93"/>
    <x v="0"/>
    <d v="2024-06-23T00:00:00"/>
    <x v="1"/>
    <n v="15"/>
    <x v="0"/>
    <s v="Yes"/>
    <n v="30"/>
    <s v="Yes"/>
    <n v="20"/>
    <n v="3"/>
    <n v="62"/>
  </r>
  <r>
    <n v="3350"/>
    <x v="118"/>
    <x v="2"/>
    <d v="2024-06-24T00:00:00"/>
    <x v="0"/>
    <n v="10"/>
    <x v="1"/>
    <s v="No"/>
    <s v="-"/>
    <s v="Yes"/>
    <n v="20"/>
    <n v="15"/>
    <n v="15"/>
  </r>
  <r>
    <n v="3351"/>
    <x v="119"/>
    <x v="1"/>
    <d v="2024-06-25T00:00:00"/>
    <x v="1"/>
    <n v="5"/>
    <x v="0"/>
    <s v="No"/>
    <s v="-"/>
    <s v="No"/>
    <n v="0"/>
    <n v="1"/>
    <n v="4"/>
  </r>
  <r>
    <n v="3352"/>
    <x v="120"/>
    <x v="0"/>
    <d v="2024-06-26T00:00:00"/>
    <x v="0"/>
    <n v="15"/>
    <x v="2"/>
    <s v="Yes"/>
    <n v="30"/>
    <s v="Yes"/>
    <n v="20"/>
    <n v="7"/>
    <n v="58"/>
  </r>
  <r>
    <n v="3353"/>
    <x v="121"/>
    <x v="2"/>
    <d v="2024-06-27T00:00:00"/>
    <x v="1"/>
    <n v="10"/>
    <x v="0"/>
    <s v="No"/>
    <s v="-"/>
    <s v="Yes"/>
    <n v="20"/>
    <n v="10"/>
    <n v="20"/>
  </r>
  <r>
    <n v="3354"/>
    <x v="122"/>
    <x v="1"/>
    <d v="2024-06-28T00:00:00"/>
    <x v="0"/>
    <n v="5"/>
    <x v="1"/>
    <s v="No"/>
    <s v="-"/>
    <s v="No"/>
    <n v="0"/>
    <n v="0"/>
    <n v="5"/>
  </r>
  <r>
    <n v="3355"/>
    <x v="123"/>
    <x v="0"/>
    <d v="2024-06-29T00:00:00"/>
    <x v="1"/>
    <n v="15"/>
    <x v="0"/>
    <s v="Yes"/>
    <n v="30"/>
    <s v="Yes"/>
    <n v="20"/>
    <n v="20"/>
    <n v="45"/>
  </r>
  <r>
    <n v="3356"/>
    <x v="124"/>
    <x v="2"/>
    <d v="2024-06-30T00:00:00"/>
    <x v="0"/>
    <n v="10"/>
    <x v="2"/>
    <s v="No"/>
    <s v="-"/>
    <s v="Yes"/>
    <n v="20"/>
    <n v="15"/>
    <n v="15"/>
  </r>
  <r>
    <n v="3357"/>
    <x v="125"/>
    <x v="1"/>
    <d v="2024-07-01T00:00:00"/>
    <x v="1"/>
    <n v="5"/>
    <x v="0"/>
    <s v="No"/>
    <s v="-"/>
    <s v="No"/>
    <n v="0"/>
    <n v="1"/>
    <n v="4"/>
  </r>
  <r>
    <n v="3358"/>
    <x v="126"/>
    <x v="0"/>
    <d v="2024-07-02T00:00:00"/>
    <x v="0"/>
    <n v="15"/>
    <x v="1"/>
    <s v="Yes"/>
    <n v="30"/>
    <s v="Yes"/>
    <n v="20"/>
    <n v="3"/>
    <n v="62"/>
  </r>
  <r>
    <n v="3359"/>
    <x v="127"/>
    <x v="2"/>
    <d v="2024-07-03T00:00:00"/>
    <x v="1"/>
    <n v="10"/>
    <x v="0"/>
    <s v="No"/>
    <s v="-"/>
    <s v="Yes"/>
    <n v="20"/>
    <n v="10"/>
    <n v="20"/>
  </r>
  <r>
    <n v="3360"/>
    <x v="128"/>
    <x v="1"/>
    <d v="2024-07-04T00:00:00"/>
    <x v="0"/>
    <n v="5"/>
    <x v="2"/>
    <s v="No"/>
    <s v="-"/>
    <s v="No"/>
    <n v="0"/>
    <n v="0"/>
    <n v="5"/>
  </r>
  <r>
    <n v="3361"/>
    <x v="129"/>
    <x v="0"/>
    <d v="2024-07-05T00:00:00"/>
    <x v="1"/>
    <n v="15"/>
    <x v="0"/>
    <s v="Yes"/>
    <n v="30"/>
    <s v="Yes"/>
    <n v="20"/>
    <n v="15"/>
    <n v="50"/>
  </r>
  <r>
    <n v="3362"/>
    <x v="130"/>
    <x v="2"/>
    <d v="2024-07-06T00:00:00"/>
    <x v="0"/>
    <n v="10"/>
    <x v="1"/>
    <s v="No"/>
    <s v="-"/>
    <s v="Yes"/>
    <n v="20"/>
    <n v="15"/>
    <n v="15"/>
  </r>
  <r>
    <n v="3363"/>
    <x v="131"/>
    <x v="1"/>
    <d v="2024-07-07T00:00:00"/>
    <x v="1"/>
    <n v="5"/>
    <x v="0"/>
    <s v="No"/>
    <s v="-"/>
    <s v="No"/>
    <n v="0"/>
    <n v="1"/>
    <n v="4"/>
  </r>
  <r>
    <n v="3364"/>
    <x v="132"/>
    <x v="0"/>
    <d v="2024-07-08T00:00:00"/>
    <x v="0"/>
    <n v="15"/>
    <x v="2"/>
    <s v="Yes"/>
    <n v="30"/>
    <s v="Yes"/>
    <n v="20"/>
    <n v="7"/>
    <n v="58"/>
  </r>
  <r>
    <n v="3365"/>
    <x v="133"/>
    <x v="2"/>
    <d v="2024-07-09T00:00:00"/>
    <x v="1"/>
    <n v="10"/>
    <x v="0"/>
    <s v="No"/>
    <s v="-"/>
    <s v="Yes"/>
    <n v="20"/>
    <n v="10"/>
    <n v="20"/>
  </r>
  <r>
    <n v="3366"/>
    <x v="134"/>
    <x v="1"/>
    <d v="2024-07-10T00:00:00"/>
    <x v="0"/>
    <n v="5"/>
    <x v="0"/>
    <s v="No"/>
    <s v="-"/>
    <s v="No"/>
    <n v="0"/>
    <n v="0"/>
    <n v="5"/>
  </r>
  <r>
    <n v="3367"/>
    <x v="135"/>
    <x v="0"/>
    <d v="2024-07-11T00:00:00"/>
    <x v="1"/>
    <n v="15"/>
    <x v="2"/>
    <s v="Yes"/>
    <n v="30"/>
    <s v="Yes"/>
    <n v="20"/>
    <n v="7"/>
    <n v="58"/>
  </r>
  <r>
    <n v="3368"/>
    <x v="136"/>
    <x v="2"/>
    <d v="2024-07-12T00:00:00"/>
    <x v="0"/>
    <n v="10"/>
    <x v="1"/>
    <s v="No"/>
    <s v="-"/>
    <s v="Yes"/>
    <n v="20"/>
    <n v="10"/>
    <n v="20"/>
  </r>
  <r>
    <n v="3369"/>
    <x v="137"/>
    <x v="1"/>
    <d v="2024-07-13T00:00:00"/>
    <x v="1"/>
    <n v="5"/>
    <x v="2"/>
    <s v="No"/>
    <s v="-"/>
    <s v="No"/>
    <n v="0"/>
    <n v="1"/>
    <n v="4"/>
  </r>
  <r>
    <n v="3370"/>
    <x v="138"/>
    <x v="0"/>
    <d v="2024-07-14T00:00:00"/>
    <x v="0"/>
    <n v="15"/>
    <x v="0"/>
    <s v="Yes"/>
    <n v="30"/>
    <s v="Yes"/>
    <n v="20"/>
    <n v="15"/>
    <n v="50"/>
  </r>
  <r>
    <n v="3371"/>
    <x v="139"/>
    <x v="2"/>
    <d v="2024-07-15T00:00:00"/>
    <x v="1"/>
    <n v="10"/>
    <x v="0"/>
    <s v="No"/>
    <s v="-"/>
    <s v="Yes"/>
    <n v="20"/>
    <n v="5"/>
    <n v="25"/>
  </r>
  <r>
    <n v="3372"/>
    <x v="140"/>
    <x v="1"/>
    <d v="2024-07-16T00:00:00"/>
    <x v="0"/>
    <n v="5"/>
    <x v="1"/>
    <s v="No"/>
    <s v="-"/>
    <s v="No"/>
    <n v="0"/>
    <n v="0"/>
    <n v="5"/>
  </r>
  <r>
    <n v="3373"/>
    <x v="141"/>
    <x v="0"/>
    <d v="2024-07-17T00:00:00"/>
    <x v="1"/>
    <n v="15"/>
    <x v="2"/>
    <s v="Yes"/>
    <n v="30"/>
    <s v="Yes"/>
    <n v="20"/>
    <n v="20"/>
    <n v="45"/>
  </r>
  <r>
    <n v="3374"/>
    <x v="142"/>
    <x v="2"/>
    <d v="2024-07-18T00:00:00"/>
    <x v="0"/>
    <n v="10"/>
    <x v="2"/>
    <s v="No"/>
    <s v="-"/>
    <s v="Yes"/>
    <n v="20"/>
    <n v="12"/>
    <n v="18"/>
  </r>
  <r>
    <n v="3375"/>
    <x v="143"/>
    <x v="1"/>
    <d v="2024-07-19T00:00:00"/>
    <x v="1"/>
    <n v="5"/>
    <x v="0"/>
    <s v="No"/>
    <s v="-"/>
    <s v="No"/>
    <n v="0"/>
    <n v="2"/>
    <n v="3"/>
  </r>
  <r>
    <n v="3376"/>
    <x v="144"/>
    <x v="0"/>
    <d v="2024-07-20T00:00:00"/>
    <x v="0"/>
    <n v="15"/>
    <x v="1"/>
    <s v="Yes"/>
    <n v="30"/>
    <s v="Yes"/>
    <n v="20"/>
    <n v="5"/>
    <n v="60"/>
  </r>
  <r>
    <n v="3377"/>
    <x v="145"/>
    <x v="2"/>
    <d v="2024-07-21T00:00:00"/>
    <x v="1"/>
    <n v="10"/>
    <x v="0"/>
    <s v="No"/>
    <s v="-"/>
    <s v="Yes"/>
    <n v="20"/>
    <n v="10"/>
    <n v="20"/>
  </r>
  <r>
    <n v="3378"/>
    <x v="146"/>
    <x v="1"/>
    <d v="2024-07-22T00:00:00"/>
    <x v="0"/>
    <n v="5"/>
    <x v="2"/>
    <s v="No"/>
    <s v="-"/>
    <s v="No"/>
    <n v="0"/>
    <n v="0"/>
    <n v="5"/>
  </r>
  <r>
    <n v="3379"/>
    <x v="147"/>
    <x v="0"/>
    <d v="2024-07-23T00:00:00"/>
    <x v="1"/>
    <n v="15"/>
    <x v="0"/>
    <s v="Yes"/>
    <n v="30"/>
    <s v="Yes"/>
    <n v="20"/>
    <n v="3"/>
    <n v="62"/>
  </r>
  <r>
    <n v="3380"/>
    <x v="148"/>
    <x v="2"/>
    <d v="2024-07-24T00:00:00"/>
    <x v="0"/>
    <n v="10"/>
    <x v="1"/>
    <s v="No"/>
    <s v="-"/>
    <s v="Yes"/>
    <n v="20"/>
    <n v="15"/>
    <n v="15"/>
  </r>
  <r>
    <n v="3381"/>
    <x v="149"/>
    <x v="1"/>
    <d v="2024-07-25T00:00:00"/>
    <x v="1"/>
    <n v="5"/>
    <x v="0"/>
    <s v="No"/>
    <s v="-"/>
    <s v="No"/>
    <n v="0"/>
    <n v="1"/>
    <n v="4"/>
  </r>
  <r>
    <n v="3382"/>
    <x v="150"/>
    <x v="0"/>
    <d v="2024-07-26T00:00:00"/>
    <x v="0"/>
    <n v="15"/>
    <x v="2"/>
    <s v="Yes"/>
    <n v="30"/>
    <s v="Yes"/>
    <n v="20"/>
    <n v="7"/>
    <n v="58"/>
  </r>
  <r>
    <n v="3383"/>
    <x v="151"/>
    <x v="2"/>
    <d v="2024-07-27T00:00:00"/>
    <x v="1"/>
    <n v="10"/>
    <x v="0"/>
    <s v="No"/>
    <s v="-"/>
    <s v="Yes"/>
    <n v="20"/>
    <n v="10"/>
    <n v="20"/>
  </r>
  <r>
    <n v="3384"/>
    <x v="152"/>
    <x v="1"/>
    <d v="2024-07-28T00:00:00"/>
    <x v="0"/>
    <n v="5"/>
    <x v="1"/>
    <s v="No"/>
    <s v="-"/>
    <s v="No"/>
    <n v="0"/>
    <n v="0"/>
    <n v="5"/>
  </r>
  <r>
    <n v="3385"/>
    <x v="153"/>
    <x v="0"/>
    <d v="2024-07-29T00:00:00"/>
    <x v="1"/>
    <n v="15"/>
    <x v="0"/>
    <s v="Yes"/>
    <n v="30"/>
    <s v="Yes"/>
    <n v="20"/>
    <n v="20"/>
    <n v="45"/>
  </r>
  <r>
    <n v="3386"/>
    <x v="154"/>
    <x v="2"/>
    <d v="2024-07-30T00:00:00"/>
    <x v="0"/>
    <n v="10"/>
    <x v="2"/>
    <s v="No"/>
    <s v="-"/>
    <s v="Yes"/>
    <n v="20"/>
    <n v="15"/>
    <n v="15"/>
  </r>
  <r>
    <n v="3387"/>
    <x v="155"/>
    <x v="1"/>
    <d v="2024-07-31T00:00:00"/>
    <x v="1"/>
    <n v="5"/>
    <x v="0"/>
    <s v="No"/>
    <s v="-"/>
    <s v="No"/>
    <n v="0"/>
    <n v="1"/>
    <n v="4"/>
  </r>
  <r>
    <n v="3388"/>
    <x v="156"/>
    <x v="0"/>
    <d v="2024-08-01T00:00:00"/>
    <x v="0"/>
    <n v="15"/>
    <x v="1"/>
    <s v="Yes"/>
    <n v="30"/>
    <s v="Yes"/>
    <n v="20"/>
    <n v="3"/>
    <n v="62"/>
  </r>
  <r>
    <n v="3389"/>
    <x v="157"/>
    <x v="2"/>
    <d v="2024-08-02T00:00:00"/>
    <x v="1"/>
    <n v="10"/>
    <x v="0"/>
    <s v="No"/>
    <s v="-"/>
    <s v="Yes"/>
    <n v="20"/>
    <n v="10"/>
    <n v="20"/>
  </r>
  <r>
    <n v="3390"/>
    <x v="158"/>
    <x v="1"/>
    <d v="2024-08-03T00:00:00"/>
    <x v="0"/>
    <n v="5"/>
    <x v="2"/>
    <s v="No"/>
    <s v="-"/>
    <s v="No"/>
    <n v="0"/>
    <n v="0"/>
    <n v="5"/>
  </r>
  <r>
    <n v="3391"/>
    <x v="58"/>
    <x v="0"/>
    <d v="2024-08-04T00:00:00"/>
    <x v="1"/>
    <n v="15"/>
    <x v="0"/>
    <s v="Yes"/>
    <n v="30"/>
    <s v="Yes"/>
    <n v="20"/>
    <n v="15"/>
    <n v="50"/>
  </r>
  <r>
    <n v="3392"/>
    <x v="159"/>
    <x v="2"/>
    <d v="2024-08-05T00:00:00"/>
    <x v="0"/>
    <n v="10"/>
    <x v="1"/>
    <s v="No"/>
    <s v="-"/>
    <s v="Yes"/>
    <n v="20"/>
    <n v="15"/>
    <n v="15"/>
  </r>
  <r>
    <n v="3393"/>
    <x v="160"/>
    <x v="1"/>
    <d v="2024-08-06T00:00:00"/>
    <x v="1"/>
    <n v="5"/>
    <x v="0"/>
    <s v="No"/>
    <s v="-"/>
    <s v="No"/>
    <n v="0"/>
    <n v="1"/>
    <n v="4"/>
  </r>
  <r>
    <n v="3394"/>
    <x v="161"/>
    <x v="0"/>
    <d v="2024-08-07T00:00:00"/>
    <x v="0"/>
    <n v="15"/>
    <x v="2"/>
    <s v="Yes"/>
    <n v="30"/>
    <s v="Yes"/>
    <n v="20"/>
    <n v="7"/>
    <n v="58"/>
  </r>
  <r>
    <n v="3395"/>
    <x v="162"/>
    <x v="2"/>
    <d v="2024-08-08T00:00:00"/>
    <x v="1"/>
    <n v="10"/>
    <x v="0"/>
    <s v="No"/>
    <s v="-"/>
    <s v="Yes"/>
    <n v="20"/>
    <n v="10"/>
    <n v="20"/>
  </r>
  <r>
    <n v="3396"/>
    <x v="163"/>
    <x v="1"/>
    <d v="2024-08-09T00:00:00"/>
    <x v="0"/>
    <n v="5"/>
    <x v="1"/>
    <s v="No"/>
    <s v="-"/>
    <s v="No"/>
    <n v="0"/>
    <n v="0"/>
    <n v="5"/>
  </r>
  <r>
    <n v="3397"/>
    <x v="90"/>
    <x v="0"/>
    <d v="2024-08-10T00:00:00"/>
    <x v="1"/>
    <n v="15"/>
    <x v="0"/>
    <s v="Yes"/>
    <n v="30"/>
    <s v="Yes"/>
    <n v="20"/>
    <n v="20"/>
    <n v="45"/>
  </r>
  <r>
    <n v="3398"/>
    <x v="164"/>
    <x v="2"/>
    <d v="2024-08-11T00:00:00"/>
    <x v="0"/>
    <n v="10"/>
    <x v="2"/>
    <s v="No"/>
    <s v="-"/>
    <s v="Yes"/>
    <n v="20"/>
    <n v="15"/>
    <n v="15"/>
  </r>
  <r>
    <n v="3399"/>
    <x v="165"/>
    <x v="1"/>
    <d v="2024-08-12T00:00:00"/>
    <x v="1"/>
    <n v="5"/>
    <x v="0"/>
    <s v="No"/>
    <s v="-"/>
    <s v="No"/>
    <n v="0"/>
    <n v="1"/>
    <n v="4"/>
  </r>
  <r>
    <n v="3400"/>
    <x v="166"/>
    <x v="0"/>
    <d v="2024-08-13T00:00:00"/>
    <x v="0"/>
    <n v="15"/>
    <x v="1"/>
    <s v="Yes"/>
    <n v="30"/>
    <s v="Yes"/>
    <n v="20"/>
    <n v="5"/>
    <n v="60"/>
  </r>
  <r>
    <n v="3401"/>
    <x v="167"/>
    <x v="2"/>
    <d v="2024-08-14T00:00:00"/>
    <x v="1"/>
    <n v="10"/>
    <x v="0"/>
    <s v="No"/>
    <s v="-"/>
    <s v="Yes"/>
    <n v="20"/>
    <n v="10"/>
    <n v="20"/>
  </r>
  <r>
    <n v="3402"/>
    <x v="168"/>
    <x v="1"/>
    <d v="2024-08-15T00:00:00"/>
    <x v="0"/>
    <n v="5"/>
    <x v="2"/>
    <s v="No"/>
    <s v="-"/>
    <s v="No"/>
    <n v="0"/>
    <n v="0"/>
    <n v="5"/>
  </r>
  <r>
    <n v="3403"/>
    <x v="169"/>
    <x v="0"/>
    <d v="2024-08-16T00:00:00"/>
    <x v="1"/>
    <n v="15"/>
    <x v="0"/>
    <s v="Yes"/>
    <n v="30"/>
    <s v="Yes"/>
    <n v="20"/>
    <n v="3"/>
    <n v="62"/>
  </r>
  <r>
    <n v="3404"/>
    <x v="170"/>
    <x v="2"/>
    <d v="2024-08-17T00:00:00"/>
    <x v="0"/>
    <n v="10"/>
    <x v="1"/>
    <s v="No"/>
    <s v="-"/>
    <s v="Yes"/>
    <n v="20"/>
    <n v="15"/>
    <n v="15"/>
  </r>
  <r>
    <n v="3405"/>
    <x v="171"/>
    <x v="1"/>
    <d v="2024-08-18T00:00:00"/>
    <x v="1"/>
    <n v="5"/>
    <x v="0"/>
    <s v="No"/>
    <s v="-"/>
    <s v="No"/>
    <n v="0"/>
    <n v="1"/>
    <n v="4"/>
  </r>
  <r>
    <n v="3406"/>
    <x v="172"/>
    <x v="1"/>
    <d v="2024-08-19T00:00:00"/>
    <x v="0"/>
    <n v="5"/>
    <x v="0"/>
    <s v="No"/>
    <s v="-"/>
    <s v="No"/>
    <n v="0"/>
    <n v="0"/>
    <n v="5"/>
  </r>
  <r>
    <n v="3407"/>
    <x v="173"/>
    <x v="0"/>
    <d v="2024-08-20T00:00:00"/>
    <x v="1"/>
    <n v="15"/>
    <x v="2"/>
    <s v="Yes"/>
    <n v="30"/>
    <s v="Yes"/>
    <n v="20"/>
    <n v="7"/>
    <n v="58"/>
  </r>
  <r>
    <n v="3408"/>
    <x v="174"/>
    <x v="2"/>
    <d v="2024-08-21T00:00:00"/>
    <x v="0"/>
    <n v="10"/>
    <x v="1"/>
    <s v="No"/>
    <s v="-"/>
    <s v="Yes"/>
    <n v="20"/>
    <n v="10"/>
    <n v="20"/>
  </r>
  <r>
    <n v="3409"/>
    <x v="175"/>
    <x v="1"/>
    <d v="2024-08-22T00:00:00"/>
    <x v="1"/>
    <n v="5"/>
    <x v="2"/>
    <s v="No"/>
    <s v="-"/>
    <s v="No"/>
    <n v="0"/>
    <n v="1"/>
    <n v="4"/>
  </r>
  <r>
    <n v="3410"/>
    <x v="176"/>
    <x v="0"/>
    <d v="2024-08-23T00:00:00"/>
    <x v="0"/>
    <n v="15"/>
    <x v="0"/>
    <s v="Yes"/>
    <n v="30"/>
    <s v="Yes"/>
    <n v="20"/>
    <n v="15"/>
    <n v="50"/>
  </r>
  <r>
    <n v="3411"/>
    <x v="177"/>
    <x v="2"/>
    <d v="2024-08-24T00:00:00"/>
    <x v="1"/>
    <n v="10"/>
    <x v="0"/>
    <s v="No"/>
    <s v="-"/>
    <s v="Yes"/>
    <n v="20"/>
    <n v="5"/>
    <n v="25"/>
  </r>
  <r>
    <n v="3412"/>
    <x v="178"/>
    <x v="1"/>
    <d v="2024-08-25T00:00:00"/>
    <x v="0"/>
    <n v="5"/>
    <x v="1"/>
    <s v="No"/>
    <s v="-"/>
    <s v="No"/>
    <n v="0"/>
    <n v="0"/>
    <n v="5"/>
  </r>
  <r>
    <n v="3413"/>
    <x v="179"/>
    <x v="0"/>
    <d v="2024-08-26T00:00:00"/>
    <x v="1"/>
    <n v="15"/>
    <x v="2"/>
    <s v="Yes"/>
    <n v="30"/>
    <s v="Yes"/>
    <n v="20"/>
    <n v="20"/>
    <n v="45"/>
  </r>
  <r>
    <n v="3414"/>
    <x v="180"/>
    <x v="2"/>
    <d v="2024-08-27T00:00:00"/>
    <x v="0"/>
    <n v="10"/>
    <x v="2"/>
    <s v="No"/>
    <s v="-"/>
    <s v="Yes"/>
    <n v="20"/>
    <n v="12"/>
    <n v="18"/>
  </r>
  <r>
    <n v="3415"/>
    <x v="181"/>
    <x v="1"/>
    <d v="2024-08-28T00:00:00"/>
    <x v="1"/>
    <n v="5"/>
    <x v="0"/>
    <s v="No"/>
    <s v="-"/>
    <s v="No"/>
    <n v="0"/>
    <n v="2"/>
    <n v="3"/>
  </r>
  <r>
    <n v="3416"/>
    <x v="182"/>
    <x v="0"/>
    <d v="2024-08-29T00:00:00"/>
    <x v="0"/>
    <n v="15"/>
    <x v="1"/>
    <s v="Yes"/>
    <n v="30"/>
    <s v="Yes"/>
    <n v="20"/>
    <n v="5"/>
    <n v="60"/>
  </r>
  <r>
    <n v="3417"/>
    <x v="183"/>
    <x v="2"/>
    <d v="2024-08-30T00:00:00"/>
    <x v="1"/>
    <n v="10"/>
    <x v="0"/>
    <s v="No"/>
    <s v="-"/>
    <s v="Yes"/>
    <n v="20"/>
    <n v="10"/>
    <n v="20"/>
  </r>
  <r>
    <n v="3418"/>
    <x v="184"/>
    <x v="1"/>
    <d v="2024-08-31T00:00:00"/>
    <x v="0"/>
    <n v="5"/>
    <x v="2"/>
    <s v="No"/>
    <s v="-"/>
    <s v="No"/>
    <n v="0"/>
    <n v="0"/>
    <n v="5"/>
  </r>
  <r>
    <n v="3419"/>
    <x v="185"/>
    <x v="0"/>
    <d v="2024-09-01T00:00:00"/>
    <x v="1"/>
    <n v="15"/>
    <x v="0"/>
    <s v="Yes"/>
    <n v="30"/>
    <s v="Yes"/>
    <n v="20"/>
    <n v="3"/>
    <n v="62"/>
  </r>
  <r>
    <n v="3420"/>
    <x v="186"/>
    <x v="2"/>
    <d v="2024-09-02T00:00:00"/>
    <x v="0"/>
    <n v="10"/>
    <x v="1"/>
    <s v="No"/>
    <s v="-"/>
    <s v="Yes"/>
    <n v="20"/>
    <n v="15"/>
    <n v="15"/>
  </r>
  <r>
    <n v="3421"/>
    <x v="15"/>
    <x v="1"/>
    <d v="2024-09-03T00:00:00"/>
    <x v="1"/>
    <n v="5"/>
    <x v="0"/>
    <s v="No"/>
    <s v="-"/>
    <s v="No"/>
    <n v="0"/>
    <n v="1"/>
    <n v="4"/>
  </r>
  <r>
    <n v="3422"/>
    <x v="187"/>
    <x v="0"/>
    <d v="2024-09-04T00:00:00"/>
    <x v="0"/>
    <n v="15"/>
    <x v="2"/>
    <s v="Yes"/>
    <n v="30"/>
    <s v="Yes"/>
    <n v="20"/>
    <n v="7"/>
    <n v="58"/>
  </r>
  <r>
    <n v="3423"/>
    <x v="188"/>
    <x v="2"/>
    <d v="2024-09-05T00:00:00"/>
    <x v="1"/>
    <n v="10"/>
    <x v="0"/>
    <s v="No"/>
    <s v="-"/>
    <s v="Yes"/>
    <n v="20"/>
    <n v="10"/>
    <n v="20"/>
  </r>
  <r>
    <n v="3424"/>
    <x v="14"/>
    <x v="1"/>
    <d v="2024-09-06T00:00:00"/>
    <x v="0"/>
    <n v="5"/>
    <x v="1"/>
    <s v="No"/>
    <s v="-"/>
    <s v="No"/>
    <n v="0"/>
    <n v="0"/>
    <n v="5"/>
  </r>
  <r>
    <n v="3425"/>
    <x v="189"/>
    <x v="0"/>
    <d v="2024-09-07T00:00:00"/>
    <x v="1"/>
    <n v="15"/>
    <x v="0"/>
    <s v="Yes"/>
    <n v="30"/>
    <s v="Yes"/>
    <n v="20"/>
    <n v="20"/>
    <n v="45"/>
  </r>
  <r>
    <n v="3426"/>
    <x v="167"/>
    <x v="2"/>
    <d v="2024-09-08T00:00:00"/>
    <x v="0"/>
    <n v="10"/>
    <x v="2"/>
    <s v="No"/>
    <s v="-"/>
    <s v="Yes"/>
    <n v="20"/>
    <n v="15"/>
    <n v="15"/>
  </r>
  <r>
    <n v="3427"/>
    <x v="190"/>
    <x v="1"/>
    <d v="2024-09-09T00:00:00"/>
    <x v="1"/>
    <n v="5"/>
    <x v="0"/>
    <s v="No"/>
    <s v="-"/>
    <s v="No"/>
    <n v="0"/>
    <n v="1"/>
    <n v="4"/>
  </r>
  <r>
    <n v="3428"/>
    <x v="191"/>
    <x v="0"/>
    <d v="2024-09-10T00:00:00"/>
    <x v="0"/>
    <n v="15"/>
    <x v="1"/>
    <s v="Yes"/>
    <n v="30"/>
    <s v="Yes"/>
    <n v="20"/>
    <n v="3"/>
    <n v="62"/>
  </r>
  <r>
    <n v="3429"/>
    <x v="192"/>
    <x v="2"/>
    <d v="2024-09-11T00:00:00"/>
    <x v="1"/>
    <n v="10"/>
    <x v="0"/>
    <s v="No"/>
    <s v="-"/>
    <s v="Yes"/>
    <n v="20"/>
    <n v="10"/>
    <n v="20"/>
  </r>
  <r>
    <n v="3430"/>
    <x v="193"/>
    <x v="1"/>
    <d v="2024-09-12T00:00:00"/>
    <x v="0"/>
    <n v="5"/>
    <x v="2"/>
    <s v="No"/>
    <s v="-"/>
    <s v="No"/>
    <n v="0"/>
    <n v="0"/>
    <n v="5"/>
  </r>
  <r>
    <n v="3431"/>
    <x v="194"/>
    <x v="0"/>
    <d v="2024-09-13T00:00:00"/>
    <x v="1"/>
    <n v="15"/>
    <x v="0"/>
    <s v="Yes"/>
    <n v="30"/>
    <s v="Yes"/>
    <n v="20"/>
    <n v="15"/>
    <n v="50"/>
  </r>
  <r>
    <n v="3432"/>
    <x v="195"/>
    <x v="2"/>
    <d v="2024-09-14T00:00:00"/>
    <x v="0"/>
    <n v="10"/>
    <x v="1"/>
    <s v="No"/>
    <s v="-"/>
    <s v="Yes"/>
    <n v="20"/>
    <n v="15"/>
    <n v="15"/>
  </r>
  <r>
    <n v="3433"/>
    <x v="196"/>
    <x v="1"/>
    <d v="2024-09-15T00:00:00"/>
    <x v="1"/>
    <n v="5"/>
    <x v="0"/>
    <s v="No"/>
    <s v="-"/>
    <s v="No"/>
    <n v="0"/>
    <n v="1"/>
    <n v="4"/>
  </r>
  <r>
    <n v="3434"/>
    <x v="197"/>
    <x v="0"/>
    <d v="2024-09-16T00:00:00"/>
    <x v="0"/>
    <n v="15"/>
    <x v="2"/>
    <s v="Yes"/>
    <n v="30"/>
    <s v="Yes"/>
    <n v="20"/>
    <n v="7"/>
    <n v="58"/>
  </r>
  <r>
    <n v="3435"/>
    <x v="198"/>
    <x v="2"/>
    <d v="2024-09-17T00:00:00"/>
    <x v="1"/>
    <n v="10"/>
    <x v="0"/>
    <s v="No"/>
    <s v="-"/>
    <s v="Yes"/>
    <n v="20"/>
    <n v="10"/>
    <n v="20"/>
  </r>
  <r>
    <n v="3436"/>
    <x v="199"/>
    <x v="1"/>
    <d v="2024-09-18T00:00:00"/>
    <x v="0"/>
    <n v="5"/>
    <x v="0"/>
    <s v="No"/>
    <s v="-"/>
    <s v="No"/>
    <n v="0"/>
    <n v="0"/>
    <n v="5"/>
  </r>
  <r>
    <n v="3437"/>
    <x v="200"/>
    <x v="0"/>
    <d v="2024-09-19T00:00:00"/>
    <x v="1"/>
    <n v="15"/>
    <x v="2"/>
    <s v="Yes"/>
    <n v="30"/>
    <s v="Yes"/>
    <n v="20"/>
    <n v="7"/>
    <n v="58"/>
  </r>
  <r>
    <n v="3438"/>
    <x v="201"/>
    <x v="2"/>
    <d v="2024-09-20T00:00:00"/>
    <x v="0"/>
    <n v="10"/>
    <x v="1"/>
    <s v="No"/>
    <s v="-"/>
    <s v="Yes"/>
    <n v="20"/>
    <n v="10"/>
    <n v="20"/>
  </r>
  <r>
    <n v="3439"/>
    <x v="202"/>
    <x v="1"/>
    <d v="2024-09-21T00:00:00"/>
    <x v="1"/>
    <n v="5"/>
    <x v="2"/>
    <s v="No"/>
    <s v="-"/>
    <s v="No"/>
    <n v="0"/>
    <n v="1"/>
    <n v="4"/>
  </r>
  <r>
    <n v="3440"/>
    <x v="203"/>
    <x v="0"/>
    <d v="2024-09-22T00:00:00"/>
    <x v="0"/>
    <n v="15"/>
    <x v="0"/>
    <s v="Yes"/>
    <n v="30"/>
    <s v="Yes"/>
    <n v="20"/>
    <n v="15"/>
    <n v="50"/>
  </r>
  <r>
    <n v="3441"/>
    <x v="204"/>
    <x v="2"/>
    <d v="2024-09-23T00:00:00"/>
    <x v="1"/>
    <n v="10"/>
    <x v="0"/>
    <s v="No"/>
    <s v="-"/>
    <s v="Yes"/>
    <n v="20"/>
    <n v="5"/>
    <n v="25"/>
  </r>
  <r>
    <n v="3442"/>
    <x v="205"/>
    <x v="1"/>
    <d v="2024-09-24T00:00:00"/>
    <x v="0"/>
    <n v="5"/>
    <x v="1"/>
    <s v="No"/>
    <s v="-"/>
    <s v="No"/>
    <n v="0"/>
    <n v="0"/>
    <n v="5"/>
  </r>
  <r>
    <n v="3443"/>
    <x v="206"/>
    <x v="0"/>
    <d v="2024-09-25T00:00:00"/>
    <x v="1"/>
    <n v="15"/>
    <x v="2"/>
    <s v="Yes"/>
    <n v="30"/>
    <s v="Yes"/>
    <n v="20"/>
    <n v="20"/>
    <n v="45"/>
  </r>
  <r>
    <n v="3444"/>
    <x v="207"/>
    <x v="2"/>
    <d v="2024-09-26T00:00:00"/>
    <x v="0"/>
    <n v="10"/>
    <x v="2"/>
    <s v="No"/>
    <s v="-"/>
    <s v="Yes"/>
    <n v="20"/>
    <n v="12"/>
    <n v="18"/>
  </r>
  <r>
    <n v="3445"/>
    <x v="37"/>
    <x v="1"/>
    <d v="2024-09-27T00:00:00"/>
    <x v="1"/>
    <n v="5"/>
    <x v="0"/>
    <s v="No"/>
    <s v="-"/>
    <s v="No"/>
    <n v="0"/>
    <n v="2"/>
    <n v="3"/>
  </r>
  <r>
    <n v="3446"/>
    <x v="208"/>
    <x v="0"/>
    <d v="2024-09-28T00:00:00"/>
    <x v="0"/>
    <n v="15"/>
    <x v="1"/>
    <s v="Yes"/>
    <n v="30"/>
    <s v="Yes"/>
    <n v="20"/>
    <n v="5"/>
    <n v="60"/>
  </r>
  <r>
    <n v="3447"/>
    <x v="209"/>
    <x v="2"/>
    <d v="2024-09-29T00:00:00"/>
    <x v="1"/>
    <n v="10"/>
    <x v="0"/>
    <s v="No"/>
    <s v="-"/>
    <s v="Yes"/>
    <n v="20"/>
    <n v="10"/>
    <n v="20"/>
  </r>
  <r>
    <n v="3448"/>
    <x v="210"/>
    <x v="1"/>
    <d v="2024-09-30T00:00:00"/>
    <x v="0"/>
    <n v="5"/>
    <x v="2"/>
    <s v="No"/>
    <s v="-"/>
    <s v="No"/>
    <n v="0"/>
    <n v="0"/>
    <n v="5"/>
  </r>
  <r>
    <n v="3449"/>
    <x v="211"/>
    <x v="0"/>
    <d v="2024-10-01T00:00:00"/>
    <x v="1"/>
    <n v="15"/>
    <x v="0"/>
    <s v="Yes"/>
    <n v="30"/>
    <s v="Yes"/>
    <n v="20"/>
    <n v="3"/>
    <n v="62"/>
  </r>
  <r>
    <n v="3450"/>
    <x v="212"/>
    <x v="2"/>
    <d v="2024-10-02T00:00:00"/>
    <x v="0"/>
    <n v="10"/>
    <x v="1"/>
    <s v="No"/>
    <s v="-"/>
    <s v="Yes"/>
    <n v="20"/>
    <n v="15"/>
    <n v="15"/>
  </r>
  <r>
    <n v="3451"/>
    <x v="213"/>
    <x v="1"/>
    <d v="2024-10-03T00:00:00"/>
    <x v="1"/>
    <n v="5"/>
    <x v="0"/>
    <s v="No"/>
    <s v="-"/>
    <s v="No"/>
    <n v="0"/>
    <n v="1"/>
    <n v="4"/>
  </r>
  <r>
    <n v="3452"/>
    <x v="191"/>
    <x v="0"/>
    <d v="2024-10-04T00:00:00"/>
    <x v="0"/>
    <n v="15"/>
    <x v="2"/>
    <s v="Yes"/>
    <n v="30"/>
    <s v="Yes"/>
    <n v="20"/>
    <n v="7"/>
    <n v="58"/>
  </r>
  <r>
    <n v="3453"/>
    <x v="45"/>
    <x v="2"/>
    <d v="2024-10-05T00:00:00"/>
    <x v="1"/>
    <n v="10"/>
    <x v="0"/>
    <s v="No"/>
    <s v="-"/>
    <s v="Yes"/>
    <n v="20"/>
    <n v="10"/>
    <n v="20"/>
  </r>
  <r>
    <n v="3454"/>
    <x v="214"/>
    <x v="1"/>
    <d v="2024-10-06T00:00:00"/>
    <x v="0"/>
    <n v="5"/>
    <x v="1"/>
    <s v="No"/>
    <s v="-"/>
    <s v="No"/>
    <n v="0"/>
    <n v="0"/>
    <n v="5"/>
  </r>
  <r>
    <n v="3455"/>
    <x v="215"/>
    <x v="0"/>
    <d v="2024-10-07T00:00:00"/>
    <x v="1"/>
    <n v="15"/>
    <x v="0"/>
    <s v="Yes"/>
    <n v="30"/>
    <s v="Yes"/>
    <n v="20"/>
    <n v="20"/>
    <n v="45"/>
  </r>
  <r>
    <n v="3456"/>
    <x v="216"/>
    <x v="2"/>
    <d v="2024-10-08T00:00:00"/>
    <x v="0"/>
    <n v="10"/>
    <x v="2"/>
    <s v="No"/>
    <s v="-"/>
    <s v="Yes"/>
    <n v="20"/>
    <n v="15"/>
    <n v="15"/>
  </r>
  <r>
    <n v="3457"/>
    <x v="217"/>
    <x v="1"/>
    <d v="2024-10-09T00:00:00"/>
    <x v="1"/>
    <n v="5"/>
    <x v="0"/>
    <s v="No"/>
    <s v="-"/>
    <s v="No"/>
    <n v="0"/>
    <n v="1"/>
    <n v="4"/>
  </r>
  <r>
    <n v="3458"/>
    <x v="218"/>
    <x v="0"/>
    <d v="2024-10-10T00:00:00"/>
    <x v="0"/>
    <n v="15"/>
    <x v="1"/>
    <s v="Yes"/>
    <n v="30"/>
    <s v="Yes"/>
    <n v="20"/>
    <n v="3"/>
    <n v="62"/>
  </r>
  <r>
    <n v="3459"/>
    <x v="219"/>
    <x v="2"/>
    <d v="2024-10-11T00:00:00"/>
    <x v="1"/>
    <n v="10"/>
    <x v="0"/>
    <s v="No"/>
    <s v="-"/>
    <s v="Yes"/>
    <n v="20"/>
    <n v="10"/>
    <n v="20"/>
  </r>
  <r>
    <n v="3460"/>
    <x v="127"/>
    <x v="1"/>
    <d v="2024-10-12T00:00:00"/>
    <x v="0"/>
    <n v="5"/>
    <x v="2"/>
    <s v="No"/>
    <s v="-"/>
    <s v="No"/>
    <n v="0"/>
    <n v="0"/>
    <n v="5"/>
  </r>
  <r>
    <n v="3461"/>
    <x v="220"/>
    <x v="0"/>
    <d v="2024-10-13T00:00:00"/>
    <x v="1"/>
    <n v="15"/>
    <x v="0"/>
    <s v="Yes"/>
    <n v="30"/>
    <s v="Yes"/>
    <n v="20"/>
    <n v="15"/>
    <n v="50"/>
  </r>
  <r>
    <n v="3462"/>
    <x v="221"/>
    <x v="2"/>
    <d v="2024-10-14T00:00:00"/>
    <x v="0"/>
    <n v="10"/>
    <x v="1"/>
    <s v="No"/>
    <s v="-"/>
    <s v="Yes"/>
    <n v="20"/>
    <n v="15"/>
    <n v="15"/>
  </r>
  <r>
    <n v="3463"/>
    <x v="222"/>
    <x v="1"/>
    <d v="2024-10-15T00:00:00"/>
    <x v="1"/>
    <n v="5"/>
    <x v="0"/>
    <s v="No"/>
    <s v="-"/>
    <s v="No"/>
    <n v="0"/>
    <n v="1"/>
    <n v="4"/>
  </r>
  <r>
    <n v="3464"/>
    <x v="223"/>
    <x v="0"/>
    <d v="2024-10-16T00:00:00"/>
    <x v="0"/>
    <n v="15"/>
    <x v="2"/>
    <s v="Yes"/>
    <n v="30"/>
    <s v="Yes"/>
    <n v="20"/>
    <n v="7"/>
    <n v="58"/>
  </r>
  <r>
    <n v="3465"/>
    <x v="224"/>
    <x v="2"/>
    <d v="2024-10-17T00:00:00"/>
    <x v="1"/>
    <n v="10"/>
    <x v="0"/>
    <s v="No"/>
    <s v="-"/>
    <s v="Yes"/>
    <n v="20"/>
    <n v="10"/>
    <n v="20"/>
  </r>
  <r>
    <n v="3466"/>
    <x v="225"/>
    <x v="1"/>
    <d v="2024-10-18T00:00:00"/>
    <x v="0"/>
    <n v="5"/>
    <x v="1"/>
    <s v="No"/>
    <s v="-"/>
    <s v="No"/>
    <n v="0"/>
    <n v="0"/>
    <n v="5"/>
  </r>
  <r>
    <n v="3467"/>
    <x v="226"/>
    <x v="0"/>
    <d v="2024-10-19T00:00:00"/>
    <x v="1"/>
    <n v="15"/>
    <x v="0"/>
    <s v="Yes"/>
    <n v="30"/>
    <s v="Yes"/>
    <n v="20"/>
    <n v="15"/>
    <n v="50"/>
  </r>
  <r>
    <n v="3468"/>
    <x v="227"/>
    <x v="2"/>
    <d v="2024-10-20T00:00:00"/>
    <x v="0"/>
    <n v="10"/>
    <x v="2"/>
    <s v="No"/>
    <s v="-"/>
    <s v="Yes"/>
    <n v="20"/>
    <n v="12"/>
    <n v="18"/>
  </r>
  <r>
    <n v="3469"/>
    <x v="228"/>
    <x v="1"/>
    <d v="2024-10-21T00:00:00"/>
    <x v="1"/>
    <n v="5"/>
    <x v="0"/>
    <s v="No"/>
    <s v="-"/>
    <s v="No"/>
    <n v="0"/>
    <n v="2"/>
    <n v="3"/>
  </r>
  <r>
    <n v="3470"/>
    <x v="229"/>
    <x v="0"/>
    <d v="2024-10-22T00:00:00"/>
    <x v="0"/>
    <n v="15"/>
    <x v="1"/>
    <s v="Yes"/>
    <n v="30"/>
    <s v="Yes"/>
    <n v="20"/>
    <n v="5"/>
    <n v="60"/>
  </r>
  <r>
    <n v="3471"/>
    <x v="230"/>
    <x v="2"/>
    <d v="2024-10-23T00:00:00"/>
    <x v="1"/>
    <n v="10"/>
    <x v="0"/>
    <s v="No"/>
    <s v="-"/>
    <s v="Yes"/>
    <n v="20"/>
    <n v="10"/>
    <n v="20"/>
  </r>
  <r>
    <n v="3472"/>
    <x v="231"/>
    <x v="1"/>
    <d v="2024-10-24T00:00:00"/>
    <x v="0"/>
    <n v="5"/>
    <x v="2"/>
    <s v="No"/>
    <s v="-"/>
    <s v="No"/>
    <n v="0"/>
    <n v="0"/>
    <n v="5"/>
  </r>
  <r>
    <n v="3473"/>
    <x v="140"/>
    <x v="0"/>
    <d v="2024-10-25T00:00:00"/>
    <x v="1"/>
    <n v="15"/>
    <x v="0"/>
    <s v="Yes"/>
    <n v="30"/>
    <s v="Yes"/>
    <n v="20"/>
    <n v="3"/>
    <n v="62"/>
  </r>
  <r>
    <n v="3474"/>
    <x v="232"/>
    <x v="2"/>
    <d v="2024-10-26T00:00:00"/>
    <x v="0"/>
    <n v="10"/>
    <x v="1"/>
    <s v="No"/>
    <s v="-"/>
    <s v="Yes"/>
    <n v="20"/>
    <n v="15"/>
    <n v="15"/>
  </r>
  <r>
    <n v="3475"/>
    <x v="233"/>
    <x v="1"/>
    <d v="2024-10-27T00:00:00"/>
    <x v="1"/>
    <n v="5"/>
    <x v="0"/>
    <s v="No"/>
    <s v="-"/>
    <s v="No"/>
    <n v="0"/>
    <n v="1"/>
    <n v="4"/>
  </r>
  <r>
    <n v="3476"/>
    <x v="234"/>
    <x v="0"/>
    <d v="2024-10-28T00:00:00"/>
    <x v="0"/>
    <n v="15"/>
    <x v="2"/>
    <s v="Yes"/>
    <n v="30"/>
    <s v="Yes"/>
    <n v="20"/>
    <n v="7"/>
    <n v="58"/>
  </r>
  <r>
    <n v="3477"/>
    <x v="235"/>
    <x v="2"/>
    <d v="2024-10-29T00:00:00"/>
    <x v="1"/>
    <n v="10"/>
    <x v="0"/>
    <s v="No"/>
    <s v="-"/>
    <s v="Yes"/>
    <n v="20"/>
    <n v="10"/>
    <n v="20"/>
  </r>
  <r>
    <n v="3478"/>
    <x v="236"/>
    <x v="1"/>
    <d v="2024-10-30T00:00:00"/>
    <x v="0"/>
    <n v="5"/>
    <x v="1"/>
    <s v="No"/>
    <s v="-"/>
    <s v="No"/>
    <n v="0"/>
    <n v="0"/>
    <n v="5"/>
  </r>
  <r>
    <n v="3479"/>
    <x v="237"/>
    <x v="0"/>
    <d v="2024-10-31T00:00:00"/>
    <x v="1"/>
    <n v="15"/>
    <x v="0"/>
    <s v="Yes"/>
    <n v="30"/>
    <s v="Yes"/>
    <n v="20"/>
    <n v="20"/>
    <n v="45"/>
  </r>
  <r>
    <n v="3480"/>
    <x v="238"/>
    <x v="2"/>
    <d v="2024-11-01T00:00:00"/>
    <x v="0"/>
    <n v="10"/>
    <x v="2"/>
    <s v="No"/>
    <s v="-"/>
    <s v="Yes"/>
    <n v="20"/>
    <n v="15"/>
    <n v="15"/>
  </r>
  <r>
    <n v="3481"/>
    <x v="239"/>
    <x v="1"/>
    <d v="2024-11-02T00:00:00"/>
    <x v="1"/>
    <n v="5"/>
    <x v="0"/>
    <s v="No"/>
    <s v="-"/>
    <s v="No"/>
    <n v="0"/>
    <n v="1"/>
    <n v="4"/>
  </r>
  <r>
    <n v="3482"/>
    <x v="240"/>
    <x v="0"/>
    <d v="2024-11-03T00:00:00"/>
    <x v="0"/>
    <n v="15"/>
    <x v="1"/>
    <s v="Yes"/>
    <n v="30"/>
    <s v="Yes"/>
    <n v="20"/>
    <n v="3"/>
    <n v="62"/>
  </r>
  <r>
    <n v="3483"/>
    <x v="241"/>
    <x v="2"/>
    <d v="2024-11-04T00:00:00"/>
    <x v="1"/>
    <n v="10"/>
    <x v="0"/>
    <s v="No"/>
    <s v="-"/>
    <s v="Yes"/>
    <n v="20"/>
    <n v="10"/>
    <n v="20"/>
  </r>
  <r>
    <n v="3484"/>
    <x v="242"/>
    <x v="1"/>
    <d v="2024-11-05T00:00:00"/>
    <x v="0"/>
    <n v="5"/>
    <x v="2"/>
    <s v="No"/>
    <s v="-"/>
    <s v="No"/>
    <n v="0"/>
    <n v="0"/>
    <n v="5"/>
  </r>
  <r>
    <n v="3485"/>
    <x v="243"/>
    <x v="0"/>
    <d v="2024-11-06T00:00:00"/>
    <x v="1"/>
    <n v="15"/>
    <x v="0"/>
    <s v="Yes"/>
    <n v="30"/>
    <s v="Yes"/>
    <n v="20"/>
    <n v="15"/>
    <n v="50"/>
  </r>
  <r>
    <n v="3486"/>
    <x v="244"/>
    <x v="1"/>
    <d v="2024-11-07T00:00:00"/>
    <x v="0"/>
    <n v="5"/>
    <x v="0"/>
    <s v="No"/>
    <s v="-"/>
    <s v="No"/>
    <n v="0"/>
    <n v="0"/>
    <n v="5"/>
  </r>
  <r>
    <n v="3487"/>
    <x v="245"/>
    <x v="0"/>
    <d v="2024-11-08T00:00:00"/>
    <x v="1"/>
    <n v="15"/>
    <x v="2"/>
    <s v="Yes"/>
    <n v="30"/>
    <s v="Yes"/>
    <n v="20"/>
    <n v="7"/>
    <n v="58"/>
  </r>
  <r>
    <n v="3488"/>
    <x v="246"/>
    <x v="2"/>
    <d v="2024-11-09T00:00:00"/>
    <x v="0"/>
    <n v="10"/>
    <x v="1"/>
    <s v="No"/>
    <s v="-"/>
    <s v="Yes"/>
    <n v="20"/>
    <n v="10"/>
    <n v="20"/>
  </r>
  <r>
    <n v="3489"/>
    <x v="247"/>
    <x v="1"/>
    <d v="2024-11-10T00:00:00"/>
    <x v="1"/>
    <n v="5"/>
    <x v="2"/>
    <s v="No"/>
    <s v="-"/>
    <s v="No"/>
    <n v="0"/>
    <n v="1"/>
    <n v="4"/>
  </r>
  <r>
    <n v="3490"/>
    <x v="248"/>
    <x v="0"/>
    <d v="2024-11-11T00:00:00"/>
    <x v="0"/>
    <n v="15"/>
    <x v="0"/>
    <s v="Yes"/>
    <n v="30"/>
    <s v="Yes"/>
    <n v="20"/>
    <n v="15"/>
    <n v="50"/>
  </r>
  <r>
    <n v="3491"/>
    <x v="249"/>
    <x v="2"/>
    <d v="2024-11-12T00:00:00"/>
    <x v="1"/>
    <n v="10"/>
    <x v="0"/>
    <s v="No"/>
    <s v="-"/>
    <s v="Yes"/>
    <n v="20"/>
    <n v="5"/>
    <n v="25"/>
  </r>
  <r>
    <n v="3492"/>
    <x v="250"/>
    <x v="1"/>
    <d v="2024-11-13T00:00:00"/>
    <x v="0"/>
    <n v="5"/>
    <x v="1"/>
    <s v="No"/>
    <s v="-"/>
    <s v="No"/>
    <n v="0"/>
    <n v="0"/>
    <n v="5"/>
  </r>
  <r>
    <n v="3493"/>
    <x v="251"/>
    <x v="0"/>
    <d v="2024-11-14T00:00:00"/>
    <x v="1"/>
    <n v="15"/>
    <x v="2"/>
    <s v="Yes"/>
    <n v="30"/>
    <s v="Yes"/>
    <n v="20"/>
    <n v="20"/>
    <n v="45"/>
  </r>
  <r>
    <n v="3494"/>
    <x v="252"/>
    <x v="2"/>
    <d v="2024-11-15T00:00:00"/>
    <x v="0"/>
    <n v="10"/>
    <x v="2"/>
    <s v="No"/>
    <s v="-"/>
    <s v="Yes"/>
    <n v="20"/>
    <n v="12"/>
    <n v="18"/>
  </r>
  <r>
    <n v="3495"/>
    <x v="253"/>
    <x v="1"/>
    <d v="2024-11-16T00:00:00"/>
    <x v="1"/>
    <n v="5"/>
    <x v="0"/>
    <s v="No"/>
    <s v="-"/>
    <s v="No"/>
    <n v="0"/>
    <n v="2"/>
    <n v="3"/>
  </r>
  <r>
    <n v="3496"/>
    <x v="254"/>
    <x v="0"/>
    <d v="2024-11-17T00:00:00"/>
    <x v="0"/>
    <n v="15"/>
    <x v="1"/>
    <s v="Yes"/>
    <n v="30"/>
    <s v="Yes"/>
    <n v="20"/>
    <n v="5"/>
    <n v="60"/>
  </r>
  <r>
    <n v="3497"/>
    <x v="255"/>
    <x v="2"/>
    <d v="2024-11-18T00:00:00"/>
    <x v="1"/>
    <n v="10"/>
    <x v="0"/>
    <s v="No"/>
    <s v="-"/>
    <s v="Yes"/>
    <n v="20"/>
    <n v="10"/>
    <n v="20"/>
  </r>
  <r>
    <n v="3498"/>
    <x v="256"/>
    <x v="1"/>
    <d v="2024-11-19T00:00:00"/>
    <x v="0"/>
    <n v="5"/>
    <x v="2"/>
    <s v="No"/>
    <s v="-"/>
    <s v="No"/>
    <n v="0"/>
    <n v="0"/>
    <n v="5"/>
  </r>
  <r>
    <n v="3499"/>
    <x v="257"/>
    <x v="0"/>
    <d v="2024-11-20T00:00:00"/>
    <x v="1"/>
    <n v="15"/>
    <x v="0"/>
    <s v="Yes"/>
    <n v="30"/>
    <s v="Yes"/>
    <n v="20"/>
    <n v="3"/>
    <n v="62"/>
  </r>
  <r>
    <n v="3500"/>
    <x v="258"/>
    <x v="2"/>
    <d v="2024-11-21T00:00:00"/>
    <x v="0"/>
    <n v="10"/>
    <x v="1"/>
    <s v="No"/>
    <s v="-"/>
    <s v="Yes"/>
    <n v="20"/>
    <n v="15"/>
    <n v="15"/>
  </r>
  <r>
    <n v="3501"/>
    <x v="259"/>
    <x v="1"/>
    <d v="2024-11-22T00:00:00"/>
    <x v="1"/>
    <n v="5"/>
    <x v="0"/>
    <s v="No"/>
    <s v="-"/>
    <s v="No"/>
    <n v="0"/>
    <n v="1"/>
    <n v="4"/>
  </r>
  <r>
    <n v="3502"/>
    <x v="260"/>
    <x v="0"/>
    <d v="2024-11-23T00:00:00"/>
    <x v="0"/>
    <n v="15"/>
    <x v="2"/>
    <s v="Yes"/>
    <n v="30"/>
    <s v="Yes"/>
    <n v="20"/>
    <n v="7"/>
    <n v="58"/>
  </r>
  <r>
    <n v="3503"/>
    <x v="119"/>
    <x v="2"/>
    <d v="2024-11-24T00:00:00"/>
    <x v="1"/>
    <n v="10"/>
    <x v="0"/>
    <s v="No"/>
    <s v="-"/>
    <s v="Yes"/>
    <n v="20"/>
    <n v="10"/>
    <n v="20"/>
  </r>
  <r>
    <n v="3504"/>
    <x v="261"/>
    <x v="1"/>
    <d v="2024-11-25T00:00:00"/>
    <x v="0"/>
    <n v="5"/>
    <x v="1"/>
    <s v="No"/>
    <s v="-"/>
    <s v="No"/>
    <n v="0"/>
    <n v="0"/>
    <n v="5"/>
  </r>
  <r>
    <n v="3505"/>
    <x v="262"/>
    <x v="0"/>
    <d v="2024-11-26T00:00:00"/>
    <x v="1"/>
    <n v="15"/>
    <x v="0"/>
    <s v="Yes"/>
    <n v="30"/>
    <s v="Yes"/>
    <n v="20"/>
    <n v="20"/>
    <n v="45"/>
  </r>
  <r>
    <n v="3506"/>
    <x v="263"/>
    <x v="2"/>
    <d v="2024-11-27T00:00:00"/>
    <x v="0"/>
    <n v="10"/>
    <x v="2"/>
    <s v="No"/>
    <s v="-"/>
    <s v="Yes"/>
    <n v="20"/>
    <n v="15"/>
    <n v="15"/>
  </r>
  <r>
    <n v="3507"/>
    <x v="264"/>
    <x v="1"/>
    <d v="2024-11-28T00:00:00"/>
    <x v="1"/>
    <n v="5"/>
    <x v="0"/>
    <s v="No"/>
    <s v="-"/>
    <s v="No"/>
    <n v="0"/>
    <n v="1"/>
    <n v="4"/>
  </r>
  <r>
    <n v="3508"/>
    <x v="265"/>
    <x v="0"/>
    <d v="2024-11-29T00:00:00"/>
    <x v="0"/>
    <n v="15"/>
    <x v="1"/>
    <s v="Yes"/>
    <n v="30"/>
    <s v="Yes"/>
    <n v="20"/>
    <n v="3"/>
    <n v="62"/>
  </r>
  <r>
    <n v="3509"/>
    <x v="266"/>
    <x v="2"/>
    <d v="2024-11-30T00:00:00"/>
    <x v="1"/>
    <n v="10"/>
    <x v="0"/>
    <s v="No"/>
    <s v="-"/>
    <s v="Yes"/>
    <n v="20"/>
    <n v="10"/>
    <n v="20"/>
  </r>
  <r>
    <n v="3510"/>
    <x v="267"/>
    <x v="1"/>
    <d v="2024-12-01T00:00:00"/>
    <x v="0"/>
    <n v="5"/>
    <x v="2"/>
    <s v="No"/>
    <s v="-"/>
    <s v="No"/>
    <n v="0"/>
    <n v="0"/>
    <n v="5"/>
  </r>
  <r>
    <n v="3511"/>
    <x v="268"/>
    <x v="0"/>
    <d v="2024-12-02T00:00:00"/>
    <x v="1"/>
    <n v="15"/>
    <x v="0"/>
    <s v="Yes"/>
    <n v="30"/>
    <s v="Yes"/>
    <n v="20"/>
    <n v="15"/>
    <n v="50"/>
  </r>
  <r>
    <n v="3512"/>
    <x v="269"/>
    <x v="2"/>
    <d v="2024-12-03T00:00:00"/>
    <x v="0"/>
    <n v="10"/>
    <x v="1"/>
    <s v="No"/>
    <s v="-"/>
    <s v="Yes"/>
    <n v="20"/>
    <n v="15"/>
    <n v="15"/>
  </r>
  <r>
    <n v="3513"/>
    <x v="270"/>
    <x v="1"/>
    <d v="2024-12-04T00:00:00"/>
    <x v="1"/>
    <n v="5"/>
    <x v="0"/>
    <s v="No"/>
    <s v="-"/>
    <s v="No"/>
    <n v="0"/>
    <n v="1"/>
    <n v="4"/>
  </r>
  <r>
    <n v="3514"/>
    <x v="271"/>
    <x v="0"/>
    <d v="2024-12-05T00:00:00"/>
    <x v="0"/>
    <n v="15"/>
    <x v="2"/>
    <s v="Yes"/>
    <n v="30"/>
    <s v="Yes"/>
    <n v="20"/>
    <n v="7"/>
    <n v="58"/>
  </r>
  <r>
    <n v="3515"/>
    <x v="130"/>
    <x v="2"/>
    <d v="2024-12-06T00:00:00"/>
    <x v="1"/>
    <n v="10"/>
    <x v="0"/>
    <s v="No"/>
    <s v="-"/>
    <s v="Yes"/>
    <n v="20"/>
    <n v="10"/>
    <n v="20"/>
  </r>
  <r>
    <n v="3516"/>
    <x v="131"/>
    <x v="1"/>
    <d v="2024-12-07T00:00:00"/>
    <x v="0"/>
    <n v="5"/>
    <x v="1"/>
    <s v="No"/>
    <s v="-"/>
    <s v="No"/>
    <n v="0"/>
    <n v="0"/>
    <n v="5"/>
  </r>
  <r>
    <n v="3517"/>
    <x v="181"/>
    <x v="0"/>
    <d v="2024-12-08T00:00:00"/>
    <x v="1"/>
    <n v="15"/>
    <x v="0"/>
    <s v="Yes"/>
    <n v="30"/>
    <s v="Yes"/>
    <n v="20"/>
    <n v="20"/>
    <n v="45"/>
  </r>
  <r>
    <n v="3518"/>
    <x v="272"/>
    <x v="2"/>
    <d v="2024-12-09T00:00:00"/>
    <x v="0"/>
    <n v="10"/>
    <x v="2"/>
    <s v="No"/>
    <s v="-"/>
    <s v="Yes"/>
    <n v="20"/>
    <n v="12"/>
    <n v="18"/>
  </r>
  <r>
    <n v="3519"/>
    <x v="273"/>
    <x v="1"/>
    <d v="2024-12-10T00:00:00"/>
    <x v="1"/>
    <n v="5"/>
    <x v="0"/>
    <s v="No"/>
    <s v="-"/>
    <s v="No"/>
    <n v="0"/>
    <n v="2"/>
    <n v="3"/>
  </r>
  <r>
    <n v="3520"/>
    <x v="274"/>
    <x v="0"/>
    <d v="2024-12-11T00:00:00"/>
    <x v="0"/>
    <n v="15"/>
    <x v="1"/>
    <s v="Yes"/>
    <n v="30"/>
    <s v="Yes"/>
    <n v="20"/>
    <n v="5"/>
    <n v="60"/>
  </r>
  <r>
    <n v="3521"/>
    <x v="275"/>
    <x v="2"/>
    <d v="2024-12-12T00:00:00"/>
    <x v="1"/>
    <n v="10"/>
    <x v="0"/>
    <s v="No"/>
    <s v="-"/>
    <s v="Yes"/>
    <n v="20"/>
    <n v="10"/>
    <n v="20"/>
  </r>
  <r>
    <n v="3522"/>
    <x v="276"/>
    <x v="1"/>
    <d v="2024-12-13T00:00:00"/>
    <x v="0"/>
    <n v="5"/>
    <x v="2"/>
    <s v="No"/>
    <s v="-"/>
    <s v="No"/>
    <n v="0"/>
    <n v="0"/>
    <n v="5"/>
  </r>
  <r>
    <n v="3523"/>
    <x v="277"/>
    <x v="0"/>
    <d v="2024-12-14T00:00:00"/>
    <x v="1"/>
    <n v="15"/>
    <x v="0"/>
    <s v="Yes"/>
    <n v="30"/>
    <s v="Yes"/>
    <n v="20"/>
    <n v="3"/>
    <n v="62"/>
  </r>
  <r>
    <n v="3524"/>
    <x v="278"/>
    <x v="2"/>
    <d v="2024-12-15T00:00:00"/>
    <x v="0"/>
    <n v="10"/>
    <x v="1"/>
    <s v="No"/>
    <s v="-"/>
    <s v="Yes"/>
    <n v="20"/>
    <n v="15"/>
    <n v="15"/>
  </r>
  <r>
    <n v="3525"/>
    <x v="279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7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2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 numFmtId="3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7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6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1" baseItem="0" numFmtId="4"/>
  </dataFields>
  <formats count="1">
    <format dxfId="15">
      <pivotArea outline="0" collapsedLevelsAreSubtotals="1" fieldPosition="0"/>
    </format>
  </formats>
  <chartFormats count="3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2" sourceName="Subscription Type">
  <pivotTables>
    <pivotTable tabId="3" name="Tabela dinâmica1"/>
    <pivotTable tabId="3" name="Tabela dinâmica2"/>
  </pivotTables>
  <data>
    <tabular pivotCacheId="1765956583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 2" cache="SegmentaçãodeDados_Subscription_Type2" caption="Subscription Type" style="SlicerStyleLight6 2" rowHeight="241300"/>
</slicers>
</file>

<file path=xl/tables/table1.xml><?xml version="1.0" encoding="utf-8"?>
<table xmlns="http://schemas.openxmlformats.org/spreadsheetml/2006/main" id="1" name="Tabela1" displayName="Tabela1" ref="A1:M296" totalsRowShown="0" dataDxfId="31">
  <autoFilter ref="A1:M296">
    <filterColumn colId="7">
      <filters>
        <filter val="Yes"/>
      </filters>
    </filterColumn>
  </autoFilter>
  <tableColumns count="13">
    <tableColumn id="1" name="Subscriber ID" dataDxfId="30"/>
    <tableColumn id="2" name="Name" dataDxfId="29"/>
    <tableColumn id="3" name="Plan" dataDxfId="28"/>
    <tableColumn id="4" name="Start Date" dataDxfId="27"/>
    <tableColumn id="5" name="Auto Renewal" dataDxfId="26"/>
    <tableColumn id="6" name="Subscription Price" dataDxfId="25" dataCellStyle="Moeda"/>
    <tableColumn id="7" name="Subscription Type" dataDxfId="24"/>
    <tableColumn id="8" name="EA Play Season Pass" dataDxfId="23"/>
    <tableColumn id="13" name="EA Play Season Pass_x000a_Price" dataDxfId="22" dataCellStyle="Moeda"/>
    <tableColumn id="9" name="Minecraft Season Pass" dataDxfId="21"/>
    <tableColumn id="10" name="Minecraft Season Pass Price" dataDxfId="20" dataCellStyle="Moeda"/>
    <tableColumn id="11" name="Coupon Value" dataDxfId="19" dataCellStyle="Moeda"/>
    <tableColumn id="12" name="Total Value" dataDxfId="18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zoomScale="90" zoomScaleNormal="90" workbookViewId="0">
      <selection activeCell="D8" sqref="D8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topLeftCell="F2" zoomScale="90" zoomScaleNormal="90" workbookViewId="0">
      <selection sqref="A1:M294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6:E25"/>
  <sheetViews>
    <sheetView showGridLines="0" topLeftCell="A5" zoomScale="90" zoomScaleNormal="90" workbookViewId="0">
      <selection activeCell="E26" sqref="E26"/>
    </sheetView>
  </sheetViews>
  <sheetFormatPr defaultRowHeight="14.25"/>
  <cols>
    <col min="2" max="2" width="18.125" customWidth="1"/>
    <col min="3" max="3" width="28.5" customWidth="1"/>
    <col min="4" max="4" width="30.625" bestFit="1" customWidth="1"/>
    <col min="5" max="5" width="9.25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6" spans="2:3">
      <c r="B6" t="s">
        <v>314</v>
      </c>
    </row>
    <row r="7" spans="2:3">
      <c r="B7" t="s">
        <v>318</v>
      </c>
    </row>
    <row r="9" spans="2:3">
      <c r="B9" s="15" t="s">
        <v>16</v>
      </c>
      <c r="C9" t="s">
        <v>24</v>
      </c>
    </row>
    <row r="11" spans="2:3">
      <c r="B11" s="15" t="s">
        <v>315</v>
      </c>
      <c r="C11" t="s">
        <v>317</v>
      </c>
    </row>
    <row r="12" spans="2:3">
      <c r="B12" s="16" t="s">
        <v>23</v>
      </c>
      <c r="C12" s="17">
        <v>217</v>
      </c>
    </row>
    <row r="13" spans="2:3">
      <c r="B13" s="16" t="s">
        <v>19</v>
      </c>
      <c r="C13" s="17">
        <v>1537</v>
      </c>
    </row>
    <row r="14" spans="2:3">
      <c r="B14" s="16" t="s">
        <v>316</v>
      </c>
      <c r="C14" s="17">
        <v>1754</v>
      </c>
    </row>
    <row r="17" spans="2:5">
      <c r="B17" t="s">
        <v>319</v>
      </c>
    </row>
    <row r="19" spans="2:5">
      <c r="B19" s="15" t="s">
        <v>16</v>
      </c>
      <c r="C19" t="s">
        <v>24</v>
      </c>
    </row>
    <row r="21" spans="2:5">
      <c r="B21" s="15" t="s">
        <v>315</v>
      </c>
      <c r="C21" t="s">
        <v>320</v>
      </c>
    </row>
    <row r="22" spans="2:5">
      <c r="B22" s="16" t="s">
        <v>22</v>
      </c>
      <c r="C22" s="18">
        <v>0</v>
      </c>
    </row>
    <row r="23" spans="2:5">
      <c r="B23" s="16" t="s">
        <v>26</v>
      </c>
      <c r="C23" s="18">
        <v>0</v>
      </c>
    </row>
    <row r="24" spans="2:5">
      <c r="B24" s="16" t="s">
        <v>18</v>
      </c>
      <c r="C24" s="18">
        <v>600</v>
      </c>
    </row>
    <row r="25" spans="2:5">
      <c r="B25" s="16" t="s">
        <v>316</v>
      </c>
      <c r="C25" s="18">
        <v>600</v>
      </c>
      <c r="E25" s="19">
        <f>GETPIVOTDATA("EA Play Season Pass
Price",$B$21)</f>
        <v>600</v>
      </c>
    </row>
  </sheetData>
  <pageMargins left="0.511811024" right="0.511811024" top="0.78740157499999996" bottom="0.78740157499999996" header="0.31496062000000002" footer="0.31496062000000002"/>
  <pageSetup paperSize="9"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36"/>
  <sheetViews>
    <sheetView showGridLines="0" tabSelected="1" zoomScale="80" zoomScaleNormal="80" workbookViewId="0">
      <selection activeCell="U16" sqref="U16"/>
    </sheetView>
  </sheetViews>
  <sheetFormatPr defaultRowHeight="14.25"/>
  <cols>
    <col min="1" max="1" width="27.375" style="4" customWidth="1"/>
    <col min="2" max="2" width="3.625" customWidth="1"/>
    <col min="12" max="12" width="6.625" customWidth="1"/>
  </cols>
  <sheetData>
    <row r="2" spans="1:19" ht="27.75" customHeight="1" thickBot="1">
      <c r="C2" s="12" t="s">
        <v>313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  <c r="S2" s="14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purl.org/dc/dcmitype/"/>
    <ds:schemaRef ds:uri="http://purl.org/dc/elements/1.1/"/>
    <ds:schemaRef ds:uri="19483571-f922-4e8e-9c1c-26f0a2252132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851b35d3-0456-4d6a-bc2f-da927e91d158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Marcelo.Renata</cp:lastModifiedBy>
  <dcterms:created xsi:type="dcterms:W3CDTF">2024-12-19T13:13:10Z</dcterms:created>
  <dcterms:modified xsi:type="dcterms:W3CDTF">2025-04-14T02:39:26Z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